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dre Schoeman\Documents\Seagate\Documents\Liets\2026 Seisoen\"/>
    </mc:Choice>
  </mc:AlternateContent>
  <xr:revisionPtr revIDLastSave="0" documentId="13_ncr:1_{913A2FF5-DCC0-4E8B-9975-C4997927826E}" xr6:coauthVersionLast="47" xr6:coauthVersionMax="47" xr10:uidLastSave="{00000000-0000-0000-0000-000000000000}"/>
  <bookViews>
    <workbookView xWindow="-108" yWindow="-108" windowWidth="23256" windowHeight="12456" activeTab="5" xr2:uid="{897DB2DE-D40A-48C5-8856-0E98A7981A57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94" i="6" l="1"/>
  <c r="C92" i="6"/>
  <c r="B92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Q91" i="6" s="1"/>
  <c r="R91" i="6" s="1"/>
  <c r="B91" i="6"/>
  <c r="C91" i="6" s="1"/>
  <c r="P90" i="6"/>
  <c r="O90" i="6"/>
  <c r="N90" i="6"/>
  <c r="M90" i="6"/>
  <c r="L90" i="6"/>
  <c r="K90" i="6"/>
  <c r="J90" i="6"/>
  <c r="I90" i="6"/>
  <c r="H90" i="6"/>
  <c r="G90" i="6"/>
  <c r="F90" i="6"/>
  <c r="E90" i="6"/>
  <c r="Q90" i="6" s="1"/>
  <c r="R90" i="6" s="1"/>
  <c r="D90" i="6"/>
  <c r="C90" i="6"/>
  <c r="B90" i="6"/>
  <c r="P89" i="6"/>
  <c r="O89" i="6"/>
  <c r="N89" i="6"/>
  <c r="M89" i="6"/>
  <c r="L89" i="6"/>
  <c r="K89" i="6"/>
  <c r="J89" i="6"/>
  <c r="I89" i="6"/>
  <c r="H89" i="6"/>
  <c r="G89" i="6"/>
  <c r="Q89" i="6" s="1"/>
  <c r="F89" i="6"/>
  <c r="E89" i="6"/>
  <c r="D89" i="6"/>
  <c r="P88" i="6"/>
  <c r="O88" i="6"/>
  <c r="N88" i="6"/>
  <c r="M88" i="6"/>
  <c r="L88" i="6"/>
  <c r="K88" i="6"/>
  <c r="J88" i="6"/>
  <c r="I88" i="6"/>
  <c r="H88" i="6"/>
  <c r="G88" i="6"/>
  <c r="Q88" i="6" s="1"/>
  <c r="F88" i="6"/>
  <c r="E88" i="6"/>
  <c r="D88" i="6"/>
  <c r="P87" i="6"/>
  <c r="O87" i="6"/>
  <c r="N87" i="6"/>
  <c r="M87" i="6"/>
  <c r="L87" i="6"/>
  <c r="K87" i="6"/>
  <c r="J87" i="6"/>
  <c r="I87" i="6"/>
  <c r="H87" i="6"/>
  <c r="G87" i="6"/>
  <c r="Q87" i="6" s="1"/>
  <c r="F87" i="6"/>
  <c r="E87" i="6"/>
  <c r="P86" i="6"/>
  <c r="O86" i="6"/>
  <c r="N86" i="6"/>
  <c r="M86" i="6"/>
  <c r="L86" i="6"/>
  <c r="K86" i="6"/>
  <c r="J86" i="6"/>
  <c r="I86" i="6"/>
  <c r="H86" i="6"/>
  <c r="G86" i="6"/>
  <c r="F86" i="6"/>
  <c r="Q86" i="6" s="1"/>
  <c r="E86" i="6"/>
  <c r="P85" i="6"/>
  <c r="O85" i="6"/>
  <c r="N85" i="6"/>
  <c r="M85" i="6"/>
  <c r="L85" i="6"/>
  <c r="K85" i="6"/>
  <c r="J85" i="6"/>
  <c r="I85" i="6"/>
  <c r="H85" i="6"/>
  <c r="G85" i="6"/>
  <c r="F85" i="6"/>
  <c r="Q85" i="6" s="1"/>
  <c r="E85" i="6"/>
  <c r="P84" i="6"/>
  <c r="O84" i="6"/>
  <c r="N84" i="6"/>
  <c r="M84" i="6"/>
  <c r="L84" i="6"/>
  <c r="K84" i="6"/>
  <c r="J84" i="6"/>
  <c r="I84" i="6"/>
  <c r="H84" i="6"/>
  <c r="G84" i="6"/>
  <c r="F84" i="6"/>
  <c r="Q84" i="6" s="1"/>
  <c r="E84" i="6"/>
  <c r="P83" i="6"/>
  <c r="O83" i="6"/>
  <c r="N83" i="6"/>
  <c r="M83" i="6"/>
  <c r="L83" i="6"/>
  <c r="K83" i="6"/>
  <c r="J83" i="6"/>
  <c r="I83" i="6"/>
  <c r="H83" i="6"/>
  <c r="G83" i="6"/>
  <c r="F83" i="6"/>
  <c r="Q83" i="6" s="1"/>
  <c r="E83" i="6"/>
  <c r="P82" i="6"/>
  <c r="O82" i="6"/>
  <c r="N82" i="6"/>
  <c r="M82" i="6"/>
  <c r="L82" i="6"/>
  <c r="K82" i="6"/>
  <c r="J82" i="6"/>
  <c r="I82" i="6"/>
  <c r="H82" i="6"/>
  <c r="G82" i="6"/>
  <c r="F82" i="6"/>
  <c r="Q82" i="6" s="1"/>
  <c r="E82" i="6"/>
  <c r="P81" i="6"/>
  <c r="O81" i="6"/>
  <c r="N81" i="6"/>
  <c r="M81" i="6"/>
  <c r="L81" i="6"/>
  <c r="K81" i="6"/>
  <c r="J81" i="6"/>
  <c r="I81" i="6"/>
  <c r="H81" i="6"/>
  <c r="G81" i="6"/>
  <c r="F81" i="6"/>
  <c r="Q81" i="6" s="1"/>
  <c r="E81" i="6"/>
  <c r="P80" i="6"/>
  <c r="O80" i="6"/>
  <c r="N80" i="6"/>
  <c r="M80" i="6"/>
  <c r="L80" i="6"/>
  <c r="K80" i="6"/>
  <c r="J80" i="6"/>
  <c r="I80" i="6"/>
  <c r="H80" i="6"/>
  <c r="G80" i="6"/>
  <c r="F80" i="6"/>
  <c r="Q80" i="6" s="1"/>
  <c r="E80" i="6"/>
  <c r="P79" i="6"/>
  <c r="O79" i="6"/>
  <c r="N79" i="6"/>
  <c r="M79" i="6"/>
  <c r="L79" i="6"/>
  <c r="K79" i="6"/>
  <c r="J79" i="6"/>
  <c r="I79" i="6"/>
  <c r="H79" i="6"/>
  <c r="G79" i="6"/>
  <c r="F79" i="6"/>
  <c r="Q79" i="6" s="1"/>
  <c r="E79" i="6"/>
  <c r="P78" i="6"/>
  <c r="O78" i="6"/>
  <c r="N78" i="6"/>
  <c r="M78" i="6"/>
  <c r="L78" i="6"/>
  <c r="K78" i="6"/>
  <c r="J78" i="6"/>
  <c r="I78" i="6"/>
  <c r="H78" i="6"/>
  <c r="G78" i="6"/>
  <c r="F78" i="6"/>
  <c r="Q78" i="6" s="1"/>
  <c r="E78" i="6"/>
  <c r="P77" i="6"/>
  <c r="O77" i="6"/>
  <c r="N77" i="6"/>
  <c r="M77" i="6"/>
  <c r="L77" i="6"/>
  <c r="K77" i="6"/>
  <c r="J77" i="6"/>
  <c r="I77" i="6"/>
  <c r="H77" i="6"/>
  <c r="G77" i="6"/>
  <c r="F77" i="6"/>
  <c r="Q77" i="6" s="1"/>
  <c r="E77" i="6"/>
  <c r="P76" i="6"/>
  <c r="O76" i="6"/>
  <c r="N76" i="6"/>
  <c r="M76" i="6"/>
  <c r="L76" i="6"/>
  <c r="K76" i="6"/>
  <c r="J76" i="6"/>
  <c r="I76" i="6"/>
  <c r="H76" i="6"/>
  <c r="G76" i="6"/>
  <c r="E76" i="6"/>
  <c r="Q76" i="6" s="1"/>
  <c r="P75" i="6"/>
  <c r="O75" i="6"/>
  <c r="N75" i="6"/>
  <c r="M75" i="6"/>
  <c r="L75" i="6"/>
  <c r="K75" i="6"/>
  <c r="J75" i="6"/>
  <c r="I75" i="6"/>
  <c r="H75" i="6"/>
  <c r="G75" i="6"/>
  <c r="F75" i="6"/>
  <c r="E75" i="6"/>
  <c r="Q75" i="6" s="1"/>
  <c r="P74" i="6"/>
  <c r="O74" i="6"/>
  <c r="N74" i="6"/>
  <c r="M74" i="6"/>
  <c r="L74" i="6"/>
  <c r="K74" i="6"/>
  <c r="J74" i="6"/>
  <c r="I74" i="6"/>
  <c r="H74" i="6"/>
  <c r="G74" i="6"/>
  <c r="F74" i="6"/>
  <c r="E74" i="6"/>
  <c r="Q74" i="6" s="1"/>
  <c r="P73" i="6"/>
  <c r="L73" i="6"/>
  <c r="K73" i="6"/>
  <c r="I73" i="6"/>
  <c r="H73" i="6"/>
  <c r="F73" i="6"/>
  <c r="Q73" i="6" s="1"/>
  <c r="E73" i="6"/>
  <c r="Q72" i="6"/>
  <c r="Q71" i="6"/>
  <c r="Q70" i="6"/>
  <c r="D69" i="6"/>
  <c r="Q69" i="6" s="1"/>
  <c r="P68" i="6"/>
  <c r="O68" i="6"/>
  <c r="N68" i="6"/>
  <c r="M68" i="6"/>
  <c r="K68" i="6"/>
  <c r="I68" i="6"/>
  <c r="H68" i="6"/>
  <c r="G68" i="6"/>
  <c r="Q68" i="6" s="1"/>
  <c r="F68" i="6"/>
  <c r="E68" i="6"/>
  <c r="D68" i="6"/>
  <c r="P67" i="6"/>
  <c r="O67" i="6"/>
  <c r="N67" i="6"/>
  <c r="M67" i="6"/>
  <c r="K67" i="6"/>
  <c r="J67" i="6"/>
  <c r="H67" i="6"/>
  <c r="G67" i="6"/>
  <c r="F67" i="6"/>
  <c r="E67" i="6"/>
  <c r="D67" i="6"/>
  <c r="Q67" i="6" s="1"/>
  <c r="P66" i="6"/>
  <c r="M66" i="6"/>
  <c r="K66" i="6"/>
  <c r="J66" i="6"/>
  <c r="H66" i="6"/>
  <c r="F66" i="6"/>
  <c r="E66" i="6"/>
  <c r="D66" i="6"/>
  <c r="Q66" i="6" s="1"/>
  <c r="Q65" i="6"/>
  <c r="E65" i="6"/>
  <c r="O64" i="6"/>
  <c r="J64" i="6"/>
  <c r="H64" i="6"/>
  <c r="F64" i="6"/>
  <c r="E64" i="6"/>
  <c r="Q64" i="6" s="1"/>
  <c r="Q63" i="6"/>
  <c r="O63" i="6"/>
  <c r="N63" i="6"/>
  <c r="M63" i="6"/>
  <c r="K63" i="6"/>
  <c r="J63" i="6"/>
  <c r="G63" i="6"/>
  <c r="E63" i="6"/>
  <c r="N62" i="6"/>
  <c r="M62" i="6"/>
  <c r="L62" i="6"/>
  <c r="K62" i="6"/>
  <c r="E62" i="6"/>
  <c r="Q62" i="6" s="1"/>
  <c r="P61" i="6"/>
  <c r="O61" i="6"/>
  <c r="N61" i="6"/>
  <c r="M61" i="6"/>
  <c r="L61" i="6"/>
  <c r="K61" i="6"/>
  <c r="I61" i="6"/>
  <c r="E61" i="6"/>
  <c r="Q61" i="6" s="1"/>
  <c r="D61" i="6"/>
  <c r="P60" i="6"/>
  <c r="M60" i="6"/>
  <c r="K60" i="6"/>
  <c r="J60" i="6"/>
  <c r="I60" i="6"/>
  <c r="G60" i="6"/>
  <c r="E60" i="6"/>
  <c r="D60" i="6"/>
  <c r="Q60" i="6" s="1"/>
  <c r="O59" i="6"/>
  <c r="M59" i="6"/>
  <c r="K59" i="6"/>
  <c r="E59" i="6"/>
  <c r="D59" i="6"/>
  <c r="Q59" i="6" s="1"/>
  <c r="M58" i="6"/>
  <c r="L58" i="6"/>
  <c r="Q58" i="6" s="1"/>
  <c r="K58" i="6"/>
  <c r="J58" i="6"/>
  <c r="P57" i="6"/>
  <c r="N57" i="6"/>
  <c r="M57" i="6"/>
  <c r="L57" i="6"/>
  <c r="K57" i="6"/>
  <c r="J57" i="6"/>
  <c r="H57" i="6"/>
  <c r="E57" i="6"/>
  <c r="Q57" i="6" s="1"/>
  <c r="D57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Q56" i="6" s="1"/>
  <c r="N55" i="6"/>
  <c r="M55" i="6"/>
  <c r="L55" i="6"/>
  <c r="K55" i="6"/>
  <c r="J55" i="6"/>
  <c r="I55" i="6"/>
  <c r="H55" i="6"/>
  <c r="G55" i="6"/>
  <c r="F55" i="6"/>
  <c r="E55" i="6"/>
  <c r="Q55" i="6" s="1"/>
  <c r="P54" i="6"/>
  <c r="O54" i="6"/>
  <c r="N54" i="6"/>
  <c r="M54" i="6"/>
  <c r="K54" i="6"/>
  <c r="I54" i="6"/>
  <c r="H54" i="6"/>
  <c r="E54" i="6"/>
  <c r="Q54" i="6" s="1"/>
  <c r="D54" i="6"/>
  <c r="P53" i="6"/>
  <c r="N53" i="6"/>
  <c r="M53" i="6"/>
  <c r="L53" i="6"/>
  <c r="K53" i="6"/>
  <c r="J53" i="6"/>
  <c r="H53" i="6"/>
  <c r="E53" i="6"/>
  <c r="D53" i="6"/>
  <c r="Q53" i="6" s="1"/>
  <c r="P52" i="6"/>
  <c r="F52" i="6"/>
  <c r="E52" i="6"/>
  <c r="D52" i="6"/>
  <c r="Q52" i="6" s="1"/>
  <c r="O51" i="6"/>
  <c r="M51" i="6"/>
  <c r="L51" i="6"/>
  <c r="K51" i="6"/>
  <c r="I51" i="6"/>
  <c r="F51" i="6"/>
  <c r="Q51" i="6" s="1"/>
  <c r="E51" i="6"/>
  <c r="M50" i="6"/>
  <c r="L50" i="6"/>
  <c r="K50" i="6"/>
  <c r="J50" i="6"/>
  <c r="I50" i="6"/>
  <c r="H50" i="6"/>
  <c r="F50" i="6"/>
  <c r="E50" i="6"/>
  <c r="Q50" i="6" s="1"/>
  <c r="P49" i="6"/>
  <c r="O49" i="6"/>
  <c r="M49" i="6"/>
  <c r="L49" i="6"/>
  <c r="K49" i="6"/>
  <c r="J49" i="6"/>
  <c r="I49" i="6"/>
  <c r="H49" i="6"/>
  <c r="F49" i="6"/>
  <c r="E49" i="6"/>
  <c r="D49" i="6"/>
  <c r="Q49" i="6" s="1"/>
  <c r="O48" i="6"/>
  <c r="M48" i="6"/>
  <c r="L48" i="6"/>
  <c r="K48" i="6"/>
  <c r="J48" i="6"/>
  <c r="I48" i="6"/>
  <c r="H48" i="6"/>
  <c r="F48" i="6"/>
  <c r="Q48" i="6" s="1"/>
  <c r="E48" i="6"/>
  <c r="D48" i="6"/>
  <c r="M47" i="6"/>
  <c r="L47" i="6"/>
  <c r="K47" i="6"/>
  <c r="J47" i="6"/>
  <c r="I47" i="6"/>
  <c r="H47" i="6"/>
  <c r="F47" i="6"/>
  <c r="E47" i="6"/>
  <c r="Q47" i="6" s="1"/>
  <c r="D47" i="6"/>
  <c r="M46" i="6"/>
  <c r="L46" i="6"/>
  <c r="K46" i="6"/>
  <c r="J46" i="6"/>
  <c r="I46" i="6"/>
  <c r="H46" i="6"/>
  <c r="F46" i="6"/>
  <c r="E46" i="6"/>
  <c r="Q46" i="6" s="1"/>
  <c r="O45" i="6"/>
  <c r="M45" i="6"/>
  <c r="L45" i="6"/>
  <c r="K45" i="6"/>
  <c r="J45" i="6"/>
  <c r="I45" i="6"/>
  <c r="H45" i="6"/>
  <c r="E45" i="6"/>
  <c r="D45" i="6"/>
  <c r="Q45" i="6" s="1"/>
  <c r="P44" i="6"/>
  <c r="O44" i="6"/>
  <c r="N44" i="6"/>
  <c r="L44" i="6"/>
  <c r="K44" i="6"/>
  <c r="J44" i="6"/>
  <c r="I44" i="6"/>
  <c r="H44" i="6"/>
  <c r="F44" i="6"/>
  <c r="E44" i="6"/>
  <c r="Q44" i="6" s="1"/>
  <c r="D44" i="6"/>
  <c r="L43" i="6"/>
  <c r="J43" i="6"/>
  <c r="I43" i="6"/>
  <c r="H43" i="6"/>
  <c r="F43" i="6"/>
  <c r="E43" i="6"/>
  <c r="Q43" i="6" s="1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Q42" i="6" s="1"/>
  <c r="O41" i="6"/>
  <c r="N41" i="6"/>
  <c r="L41" i="6"/>
  <c r="J41" i="6"/>
  <c r="I41" i="6"/>
  <c r="H41" i="6"/>
  <c r="E41" i="6"/>
  <c r="D41" i="6"/>
  <c r="Q41" i="6" s="1"/>
  <c r="O40" i="6"/>
  <c r="M40" i="6"/>
  <c r="L40" i="6"/>
  <c r="K40" i="6"/>
  <c r="J40" i="6"/>
  <c r="H40" i="6"/>
  <c r="Q40" i="6" s="1"/>
  <c r="F40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Q39" i="6" s="1"/>
  <c r="Q38" i="6"/>
  <c r="P38" i="6"/>
  <c r="O38" i="6"/>
  <c r="N38" i="6"/>
  <c r="L38" i="6"/>
  <c r="K38" i="6"/>
  <c r="J38" i="6"/>
  <c r="I38" i="6"/>
  <c r="H38" i="6"/>
  <c r="F38" i="6"/>
  <c r="E38" i="6"/>
  <c r="O37" i="6"/>
  <c r="L37" i="6"/>
  <c r="Q37" i="6" s="1"/>
  <c r="J37" i="6"/>
  <c r="H37" i="6"/>
  <c r="F37" i="6"/>
  <c r="E37" i="6"/>
  <c r="D37" i="6"/>
  <c r="P36" i="6"/>
  <c r="O36" i="6"/>
  <c r="N36" i="6"/>
  <c r="L36" i="6"/>
  <c r="J36" i="6"/>
  <c r="I36" i="6"/>
  <c r="H36" i="6"/>
  <c r="F36" i="6"/>
  <c r="E36" i="6"/>
  <c r="Q36" i="6" s="1"/>
  <c r="D36" i="6"/>
  <c r="P35" i="6"/>
  <c r="O35" i="6"/>
  <c r="N35" i="6"/>
  <c r="M35" i="6"/>
  <c r="L35" i="6"/>
  <c r="J35" i="6"/>
  <c r="I35" i="6"/>
  <c r="H35" i="6"/>
  <c r="G35" i="6"/>
  <c r="F35" i="6"/>
  <c r="E35" i="6"/>
  <c r="Q35" i="6" s="1"/>
  <c r="D35" i="6"/>
  <c r="P34" i="6"/>
  <c r="O34" i="6"/>
  <c r="N34" i="6"/>
  <c r="M34" i="6"/>
  <c r="L34" i="6"/>
  <c r="J34" i="6"/>
  <c r="I34" i="6"/>
  <c r="H34" i="6"/>
  <c r="G34" i="6"/>
  <c r="F34" i="6"/>
  <c r="E34" i="6"/>
  <c r="Q34" i="6" s="1"/>
  <c r="D34" i="6"/>
  <c r="P33" i="6"/>
  <c r="O33" i="6"/>
  <c r="N33" i="6"/>
  <c r="L33" i="6"/>
  <c r="K33" i="6"/>
  <c r="J33" i="6"/>
  <c r="I33" i="6"/>
  <c r="H33" i="6"/>
  <c r="F33" i="6"/>
  <c r="E33" i="6"/>
  <c r="Q33" i="6" s="1"/>
  <c r="D33" i="6"/>
  <c r="P32" i="6"/>
  <c r="O32" i="6"/>
  <c r="M32" i="6"/>
  <c r="L32" i="6"/>
  <c r="K32" i="6"/>
  <c r="J32" i="6"/>
  <c r="H32" i="6"/>
  <c r="E32" i="6"/>
  <c r="Q32" i="6" s="1"/>
  <c r="D32" i="6"/>
  <c r="P31" i="6"/>
  <c r="O31" i="6"/>
  <c r="N31" i="6"/>
  <c r="M31" i="6"/>
  <c r="L31" i="6"/>
  <c r="K31" i="6"/>
  <c r="J31" i="6"/>
  <c r="I31" i="6"/>
  <c r="Q31" i="6" s="1"/>
  <c r="H31" i="6"/>
  <c r="G31" i="6"/>
  <c r="F31" i="6"/>
  <c r="E31" i="6"/>
  <c r="D31" i="6"/>
  <c r="P30" i="6"/>
  <c r="O30" i="6"/>
  <c r="N30" i="6"/>
  <c r="M30" i="6"/>
  <c r="L30" i="6"/>
  <c r="J30" i="6"/>
  <c r="I30" i="6"/>
  <c r="H30" i="6"/>
  <c r="Q30" i="6" s="1"/>
  <c r="G30" i="6"/>
  <c r="F30" i="6"/>
  <c r="E30" i="6"/>
  <c r="D30" i="6"/>
  <c r="Q29" i="6"/>
  <c r="O29" i="6"/>
  <c r="L29" i="6"/>
  <c r="J29" i="6"/>
  <c r="I29" i="6"/>
  <c r="H29" i="6"/>
  <c r="F29" i="6"/>
  <c r="E29" i="6"/>
  <c r="D29" i="6"/>
  <c r="P28" i="6"/>
  <c r="O28" i="6"/>
  <c r="N28" i="6"/>
  <c r="L28" i="6"/>
  <c r="J28" i="6"/>
  <c r="I28" i="6"/>
  <c r="H28" i="6"/>
  <c r="G28" i="6"/>
  <c r="F28" i="6"/>
  <c r="E28" i="6"/>
  <c r="D28" i="6"/>
  <c r="Q28" i="6" s="1"/>
  <c r="P27" i="6"/>
  <c r="O27" i="6"/>
  <c r="N27" i="6"/>
  <c r="L27" i="6"/>
  <c r="J27" i="6"/>
  <c r="I27" i="6"/>
  <c r="H27" i="6"/>
  <c r="G27" i="6"/>
  <c r="Q27" i="6" s="1"/>
  <c r="F27" i="6"/>
  <c r="E27" i="6"/>
  <c r="D27" i="6"/>
  <c r="P26" i="6"/>
  <c r="O26" i="6"/>
  <c r="N26" i="6"/>
  <c r="M26" i="6"/>
  <c r="L26" i="6"/>
  <c r="K26" i="6"/>
  <c r="J26" i="6"/>
  <c r="I26" i="6"/>
  <c r="Q26" i="6" s="1"/>
  <c r="H26" i="6"/>
  <c r="G26" i="6"/>
  <c r="F26" i="6"/>
  <c r="E26" i="6"/>
  <c r="D26" i="6"/>
  <c r="O25" i="6"/>
  <c r="N25" i="6"/>
  <c r="L25" i="6"/>
  <c r="J25" i="6"/>
  <c r="I25" i="6"/>
  <c r="H25" i="6"/>
  <c r="F25" i="6"/>
  <c r="E25" i="6"/>
  <c r="Q25" i="6" s="1"/>
  <c r="D25" i="6"/>
  <c r="P24" i="6"/>
  <c r="O24" i="6"/>
  <c r="N24" i="6"/>
  <c r="L24" i="6"/>
  <c r="J24" i="6"/>
  <c r="I24" i="6"/>
  <c r="H24" i="6"/>
  <c r="G24" i="6"/>
  <c r="F24" i="6"/>
  <c r="E24" i="6"/>
  <c r="Q24" i="6" s="1"/>
  <c r="D24" i="6"/>
  <c r="P23" i="6"/>
  <c r="N23" i="6"/>
  <c r="L23" i="6"/>
  <c r="J23" i="6"/>
  <c r="I23" i="6"/>
  <c r="H23" i="6"/>
  <c r="G23" i="6"/>
  <c r="F23" i="6"/>
  <c r="Q23" i="6" s="1"/>
  <c r="E23" i="6"/>
  <c r="D23" i="6"/>
  <c r="O22" i="6"/>
  <c r="N22" i="6"/>
  <c r="M22" i="6"/>
  <c r="L22" i="6"/>
  <c r="J22" i="6"/>
  <c r="I22" i="6"/>
  <c r="H22" i="6"/>
  <c r="G22" i="6"/>
  <c r="F22" i="6"/>
  <c r="E22" i="6"/>
  <c r="D22" i="6"/>
  <c r="Q22" i="6" s="1"/>
  <c r="P21" i="6"/>
  <c r="O21" i="6"/>
  <c r="N21" i="6"/>
  <c r="L21" i="6"/>
  <c r="K21" i="6"/>
  <c r="J21" i="6"/>
  <c r="I21" i="6"/>
  <c r="H21" i="6"/>
  <c r="G21" i="6"/>
  <c r="F21" i="6"/>
  <c r="E21" i="6"/>
  <c r="D21" i="6"/>
  <c r="Q21" i="6" s="1"/>
  <c r="P20" i="6"/>
  <c r="O20" i="6"/>
  <c r="N20" i="6"/>
  <c r="L20" i="6"/>
  <c r="K20" i="6"/>
  <c r="J20" i="6"/>
  <c r="I20" i="6"/>
  <c r="H20" i="6"/>
  <c r="G20" i="6"/>
  <c r="F20" i="6"/>
  <c r="E20" i="6"/>
  <c r="D20" i="6"/>
  <c r="Q20" i="6" s="1"/>
  <c r="P19" i="6"/>
  <c r="O19" i="6"/>
  <c r="N19" i="6"/>
  <c r="L19" i="6"/>
  <c r="J19" i="6"/>
  <c r="I19" i="6"/>
  <c r="H19" i="6"/>
  <c r="G19" i="6"/>
  <c r="F19" i="6"/>
  <c r="E19" i="6"/>
  <c r="D19" i="6"/>
  <c r="Q19" i="6" s="1"/>
  <c r="P18" i="6"/>
  <c r="O18" i="6"/>
  <c r="N18" i="6"/>
  <c r="L18" i="6"/>
  <c r="K18" i="6"/>
  <c r="J18" i="6"/>
  <c r="I18" i="6"/>
  <c r="H18" i="6"/>
  <c r="G18" i="6"/>
  <c r="F18" i="6"/>
  <c r="E18" i="6"/>
  <c r="D18" i="6"/>
  <c r="Q18" i="6" s="1"/>
  <c r="P17" i="6"/>
  <c r="O17" i="6"/>
  <c r="N17" i="6"/>
  <c r="L17" i="6"/>
  <c r="J17" i="6"/>
  <c r="I17" i="6"/>
  <c r="H17" i="6"/>
  <c r="G17" i="6"/>
  <c r="Q17" i="6" s="1"/>
  <c r="F17" i="6"/>
  <c r="E17" i="6"/>
  <c r="D17" i="6"/>
  <c r="P16" i="6"/>
  <c r="O16" i="6"/>
  <c r="N16" i="6"/>
  <c r="M16" i="6"/>
  <c r="L16" i="6"/>
  <c r="K16" i="6"/>
  <c r="J16" i="6"/>
  <c r="I16" i="6"/>
  <c r="H16" i="6"/>
  <c r="G16" i="6"/>
  <c r="Q16" i="6" s="1"/>
  <c r="F16" i="6"/>
  <c r="E16" i="6"/>
  <c r="D16" i="6"/>
  <c r="P15" i="6"/>
  <c r="O15" i="6"/>
  <c r="N15" i="6"/>
  <c r="M15" i="6"/>
  <c r="L15" i="6"/>
  <c r="K15" i="6"/>
  <c r="J15" i="6"/>
  <c r="I15" i="6"/>
  <c r="H15" i="6"/>
  <c r="G15" i="6"/>
  <c r="Q15" i="6" s="1"/>
  <c r="F15" i="6"/>
  <c r="E15" i="6"/>
  <c r="D15" i="6"/>
  <c r="P14" i="6"/>
  <c r="O14" i="6"/>
  <c r="N14" i="6"/>
  <c r="L14" i="6"/>
  <c r="J14" i="6"/>
  <c r="I14" i="6"/>
  <c r="H14" i="6"/>
  <c r="G14" i="6"/>
  <c r="F14" i="6"/>
  <c r="E14" i="6"/>
  <c r="Q14" i="6" s="1"/>
  <c r="D14" i="6"/>
  <c r="P13" i="6"/>
  <c r="O13" i="6"/>
  <c r="N13" i="6"/>
  <c r="L13" i="6"/>
  <c r="J13" i="6"/>
  <c r="I13" i="6"/>
  <c r="H13" i="6"/>
  <c r="G13" i="6"/>
  <c r="F13" i="6"/>
  <c r="E13" i="6"/>
  <c r="Q13" i="6" s="1"/>
  <c r="D13" i="6"/>
  <c r="P12" i="6"/>
  <c r="O12" i="6"/>
  <c r="N12" i="6"/>
  <c r="M12" i="6"/>
  <c r="L12" i="6"/>
  <c r="K12" i="6"/>
  <c r="J12" i="6"/>
  <c r="I12" i="6"/>
  <c r="H12" i="6"/>
  <c r="G12" i="6"/>
  <c r="F12" i="6"/>
  <c r="E12" i="6"/>
  <c r="Q12" i="6" s="1"/>
  <c r="D12" i="6"/>
  <c r="P11" i="6"/>
  <c r="O11" i="6"/>
  <c r="N11" i="6"/>
  <c r="L11" i="6"/>
  <c r="J11" i="6"/>
  <c r="I11" i="6"/>
  <c r="H11" i="6"/>
  <c r="G11" i="6"/>
  <c r="Q11" i="6" s="1"/>
  <c r="F11" i="6"/>
  <c r="E11" i="6"/>
  <c r="D11" i="6"/>
  <c r="P10" i="6"/>
  <c r="O10" i="6"/>
  <c r="N10" i="6"/>
  <c r="L10" i="6"/>
  <c r="J10" i="6"/>
  <c r="I10" i="6"/>
  <c r="H10" i="6"/>
  <c r="G10" i="6"/>
  <c r="Q10" i="6" s="1"/>
  <c r="F10" i="6"/>
  <c r="E10" i="6"/>
  <c r="D10" i="6"/>
  <c r="P9" i="6"/>
  <c r="O9" i="6"/>
  <c r="N9" i="6"/>
  <c r="L9" i="6"/>
  <c r="J9" i="6"/>
  <c r="I9" i="6"/>
  <c r="H9" i="6"/>
  <c r="G9" i="6"/>
  <c r="F9" i="6"/>
  <c r="E9" i="6"/>
  <c r="Q9" i="6" s="1"/>
  <c r="D9" i="6"/>
  <c r="P8" i="6"/>
  <c r="O8" i="6"/>
  <c r="N8" i="6"/>
  <c r="M8" i="6"/>
  <c r="M93" i="6" s="1"/>
  <c r="M95" i="6" s="1"/>
  <c r="L8" i="6"/>
  <c r="K8" i="6"/>
  <c r="K93" i="6" s="1"/>
  <c r="K95" i="6" s="1"/>
  <c r="J8" i="6"/>
  <c r="I8" i="6"/>
  <c r="H8" i="6"/>
  <c r="G8" i="6"/>
  <c r="F8" i="6"/>
  <c r="E8" i="6"/>
  <c r="E93" i="6" s="1"/>
  <c r="E95" i="6" s="1"/>
  <c r="D8" i="6"/>
  <c r="P7" i="6"/>
  <c r="O7" i="6"/>
  <c r="N7" i="6"/>
  <c r="L7" i="6"/>
  <c r="J7" i="6"/>
  <c r="I7" i="6"/>
  <c r="H7" i="6"/>
  <c r="G7" i="6"/>
  <c r="F7" i="6"/>
  <c r="E7" i="6"/>
  <c r="Q7" i="6" s="1"/>
  <c r="D7" i="6"/>
  <c r="P6" i="6"/>
  <c r="O6" i="6"/>
  <c r="N6" i="6"/>
  <c r="L6" i="6"/>
  <c r="J6" i="6"/>
  <c r="I6" i="6"/>
  <c r="H6" i="6"/>
  <c r="G6" i="6"/>
  <c r="Q6" i="6" s="1"/>
  <c r="F6" i="6"/>
  <c r="E6" i="6"/>
  <c r="D6" i="6"/>
  <c r="P5" i="6"/>
  <c r="P93" i="6" s="1"/>
  <c r="P95" i="6" s="1"/>
  <c r="O5" i="6"/>
  <c r="O93" i="6" s="1"/>
  <c r="O95" i="6" s="1"/>
  <c r="N5" i="6"/>
  <c r="N93" i="6" s="1"/>
  <c r="N95" i="6" s="1"/>
  <c r="L5" i="6"/>
  <c r="L93" i="6" s="1"/>
  <c r="L95" i="6" s="1"/>
  <c r="J5" i="6"/>
  <c r="J93" i="6" s="1"/>
  <c r="J95" i="6" s="1"/>
  <c r="I5" i="6"/>
  <c r="I93" i="6" s="1"/>
  <c r="I95" i="6" s="1"/>
  <c r="H5" i="6"/>
  <c r="H93" i="6" s="1"/>
  <c r="H95" i="6" s="1"/>
  <c r="G5" i="6"/>
  <c r="G93" i="6" s="1"/>
  <c r="G95" i="6" s="1"/>
  <c r="F5" i="6"/>
  <c r="F93" i="6" s="1"/>
  <c r="F95" i="6" s="1"/>
  <c r="E5" i="6"/>
  <c r="D5" i="6"/>
  <c r="D93" i="6" s="1"/>
  <c r="P95" i="5"/>
  <c r="L95" i="5"/>
  <c r="I95" i="5"/>
  <c r="H95" i="5"/>
  <c r="T94" i="5"/>
  <c r="R93" i="5"/>
  <c r="Q93" i="5"/>
  <c r="P93" i="5"/>
  <c r="O93" i="5"/>
  <c r="O95" i="5" s="1"/>
  <c r="N93" i="5"/>
  <c r="N95" i="5" s="1"/>
  <c r="L93" i="5"/>
  <c r="I93" i="5"/>
  <c r="H93" i="5"/>
  <c r="F93" i="5"/>
  <c r="F95" i="5" s="1"/>
  <c r="B92" i="5"/>
  <c r="C92" i="5" s="1"/>
  <c r="S91" i="5"/>
  <c r="O91" i="5"/>
  <c r="N91" i="5"/>
  <c r="M91" i="5"/>
  <c r="L91" i="5"/>
  <c r="K91" i="5"/>
  <c r="J91" i="5"/>
  <c r="I91" i="5"/>
  <c r="H91" i="5"/>
  <c r="G91" i="5"/>
  <c r="F91" i="5"/>
  <c r="E91" i="5"/>
  <c r="D91" i="5"/>
  <c r="B91" i="5"/>
  <c r="C91" i="5" s="1"/>
  <c r="S90" i="5"/>
  <c r="S93" i="5" s="1"/>
  <c r="S95" i="5" s="1"/>
  <c r="D90" i="5"/>
  <c r="D89" i="5"/>
  <c r="D88" i="5"/>
  <c r="D87" i="5"/>
  <c r="T86" i="5"/>
  <c r="T85" i="5"/>
  <c r="T84" i="5"/>
  <c r="T83" i="5"/>
  <c r="D83" i="5"/>
  <c r="T82" i="5"/>
  <c r="E81" i="5"/>
  <c r="E93" i="5" s="1"/>
  <c r="E95" i="5" s="1"/>
  <c r="D81" i="5"/>
  <c r="T81" i="5" s="1"/>
  <c r="T80" i="5"/>
  <c r="D80" i="5"/>
  <c r="D79" i="5"/>
  <c r="T79" i="5" s="1"/>
  <c r="D78" i="5"/>
  <c r="T78" i="5" s="1"/>
  <c r="D77" i="5"/>
  <c r="T77" i="5" s="1"/>
  <c r="T76" i="5"/>
  <c r="N76" i="5"/>
  <c r="G76" i="5"/>
  <c r="D76" i="5"/>
  <c r="D93" i="5" s="1"/>
  <c r="J75" i="5"/>
  <c r="J93" i="5" s="1"/>
  <c r="J95" i="5" s="1"/>
  <c r="G75" i="5"/>
  <c r="G93" i="5" s="1"/>
  <c r="G95" i="5" s="1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M24" i="5"/>
  <c r="K24" i="5"/>
  <c r="T24" i="5" s="1"/>
  <c r="T23" i="5"/>
  <c r="T22" i="5"/>
  <c r="T21" i="5"/>
  <c r="T20" i="5"/>
  <c r="M20" i="5"/>
  <c r="K20" i="5"/>
  <c r="T19" i="5"/>
  <c r="T18" i="5"/>
  <c r="T17" i="5"/>
  <c r="T16" i="5"/>
  <c r="T15" i="5"/>
  <c r="M15" i="5"/>
  <c r="K15" i="5"/>
  <c r="T14" i="5"/>
  <c r="T13" i="5"/>
  <c r="T12" i="5"/>
  <c r="T11" i="5"/>
  <c r="T10" i="5"/>
  <c r="T9" i="5"/>
  <c r="M9" i="5"/>
  <c r="K9" i="5"/>
  <c r="T8" i="5"/>
  <c r="T7" i="5"/>
  <c r="U7" i="5" s="1"/>
  <c r="U8" i="5" s="1"/>
  <c r="M7" i="5"/>
  <c r="M93" i="5" s="1"/>
  <c r="M95" i="5" s="1"/>
  <c r="K7" i="5"/>
  <c r="K93" i="5" s="1"/>
  <c r="K95" i="5" s="1"/>
  <c r="T6" i="5"/>
  <c r="U5" i="5"/>
  <c r="U6" i="5" s="1"/>
  <c r="T5" i="5"/>
  <c r="T94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B92" i="4"/>
  <c r="C92" i="4" s="1"/>
  <c r="P91" i="4"/>
  <c r="O91" i="4"/>
  <c r="N91" i="4"/>
  <c r="M91" i="4"/>
  <c r="L91" i="4"/>
  <c r="K91" i="4"/>
  <c r="J91" i="4"/>
  <c r="I91" i="4"/>
  <c r="H91" i="4"/>
  <c r="T91" i="4" s="1"/>
  <c r="G91" i="4"/>
  <c r="F91" i="4"/>
  <c r="E91" i="4"/>
  <c r="D91" i="4"/>
  <c r="C91" i="4"/>
  <c r="B91" i="4"/>
  <c r="T90" i="4"/>
  <c r="U90" i="4" s="1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T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T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T87" i="4" s="1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T86" i="4" s="1"/>
  <c r="S85" i="4"/>
  <c r="R85" i="4"/>
  <c r="Q85" i="4"/>
  <c r="P85" i="4"/>
  <c r="O85" i="4"/>
  <c r="N85" i="4"/>
  <c r="M85" i="4"/>
  <c r="L85" i="4"/>
  <c r="K85" i="4"/>
  <c r="T85" i="4" s="1"/>
  <c r="J85" i="4"/>
  <c r="I85" i="4"/>
  <c r="H85" i="4"/>
  <c r="G85" i="4"/>
  <c r="F85" i="4"/>
  <c r="E85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T84" i="4" s="1"/>
  <c r="E84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T83" i="4" s="1"/>
  <c r="F83" i="4"/>
  <c r="E83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S81" i="4"/>
  <c r="R81" i="4"/>
  <c r="Q81" i="4"/>
  <c r="P81" i="4"/>
  <c r="O81" i="4"/>
  <c r="O93" i="4" s="1"/>
  <c r="O95" i="4" s="1"/>
  <c r="N81" i="4"/>
  <c r="M81" i="4"/>
  <c r="L81" i="4"/>
  <c r="K81" i="4"/>
  <c r="J81" i="4"/>
  <c r="I81" i="4"/>
  <c r="H81" i="4"/>
  <c r="G81" i="4"/>
  <c r="G93" i="4" s="1"/>
  <c r="G95" i="4" s="1"/>
  <c r="F81" i="4"/>
  <c r="E81" i="4"/>
  <c r="T81" i="4" s="1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T80" i="4" s="1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T79" i="4" s="1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T78" i="4" s="1"/>
  <c r="E78" i="4"/>
  <c r="S77" i="4"/>
  <c r="R77" i="4"/>
  <c r="Q77" i="4"/>
  <c r="P77" i="4"/>
  <c r="O77" i="4"/>
  <c r="N77" i="4"/>
  <c r="M77" i="4"/>
  <c r="L77" i="4"/>
  <c r="K77" i="4"/>
  <c r="T77" i="4" s="1"/>
  <c r="J77" i="4"/>
  <c r="I77" i="4"/>
  <c r="H77" i="4"/>
  <c r="G77" i="4"/>
  <c r="F77" i="4"/>
  <c r="E77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E76" i="4"/>
  <c r="T76" i="4" s="1"/>
  <c r="S75" i="4"/>
  <c r="R75" i="4"/>
  <c r="Q75" i="4"/>
  <c r="P75" i="4"/>
  <c r="P93" i="4" s="1"/>
  <c r="P95" i="4" s="1"/>
  <c r="O75" i="4"/>
  <c r="N75" i="4"/>
  <c r="M75" i="4"/>
  <c r="L75" i="4"/>
  <c r="K75" i="4"/>
  <c r="J75" i="4"/>
  <c r="I75" i="4"/>
  <c r="H75" i="4"/>
  <c r="H93" i="4" s="1"/>
  <c r="H95" i="4" s="1"/>
  <c r="G75" i="4"/>
  <c r="F75" i="4"/>
  <c r="E75" i="4"/>
  <c r="T75" i="4" s="1"/>
  <c r="S74" i="4"/>
  <c r="R74" i="4"/>
  <c r="Q74" i="4"/>
  <c r="P74" i="4"/>
  <c r="O74" i="4"/>
  <c r="N74" i="4"/>
  <c r="M74" i="4"/>
  <c r="L74" i="4"/>
  <c r="K74" i="4"/>
  <c r="T74" i="4" s="1"/>
  <c r="J74" i="4"/>
  <c r="I74" i="4"/>
  <c r="H74" i="4"/>
  <c r="G74" i="4"/>
  <c r="F74" i="4"/>
  <c r="F93" i="4" s="1"/>
  <c r="F95" i="4" s="1"/>
  <c r="E74" i="4"/>
  <c r="T73" i="4"/>
  <c r="T72" i="4"/>
  <c r="T71" i="4"/>
  <c r="T70" i="4"/>
  <c r="T69" i="4"/>
  <c r="T68" i="4"/>
  <c r="T67" i="4"/>
  <c r="T66" i="4"/>
  <c r="T65" i="4"/>
  <c r="I64" i="4"/>
  <c r="T64" i="4" s="1"/>
  <c r="T63" i="4"/>
  <c r="E62" i="4"/>
  <c r="T62" i="4" s="1"/>
  <c r="T61" i="4"/>
  <c r="T60" i="4"/>
  <c r="T59" i="4"/>
  <c r="T58" i="4"/>
  <c r="T57" i="4"/>
  <c r="T56" i="4"/>
  <c r="T55" i="4"/>
  <c r="T54" i="4"/>
  <c r="S54" i="4"/>
  <c r="S93" i="4" s="1"/>
  <c r="S95" i="4" s="1"/>
  <c r="R54" i="4"/>
  <c r="R93" i="4" s="1"/>
  <c r="R95" i="4" s="1"/>
  <c r="Q54" i="4"/>
  <c r="Q93" i="4" s="1"/>
  <c r="Q95" i="4" s="1"/>
  <c r="O54" i="4"/>
  <c r="N54" i="4"/>
  <c r="N93" i="4" s="1"/>
  <c r="N95" i="4" s="1"/>
  <c r="M54" i="4"/>
  <c r="M93" i="4" s="1"/>
  <c r="M95" i="4" s="1"/>
  <c r="L54" i="4"/>
  <c r="L93" i="4" s="1"/>
  <c r="L95" i="4" s="1"/>
  <c r="J54" i="4"/>
  <c r="J93" i="4" s="1"/>
  <c r="J95" i="4" s="1"/>
  <c r="I54" i="4"/>
  <c r="I93" i="4" s="1"/>
  <c r="I95" i="4" s="1"/>
  <c r="H54" i="4"/>
  <c r="G54" i="4"/>
  <c r="E54" i="4"/>
  <c r="D54" i="4"/>
  <c r="D93" i="4" s="1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E18" i="4"/>
  <c r="E93" i="4" s="1"/>
  <c r="E95" i="4" s="1"/>
  <c r="T17" i="4"/>
  <c r="T16" i="4"/>
  <c r="T15" i="4"/>
  <c r="T14" i="4"/>
  <c r="T13" i="4"/>
  <c r="T12" i="4"/>
  <c r="T11" i="4"/>
  <c r="T10" i="4"/>
  <c r="T9" i="4"/>
  <c r="T8" i="4"/>
  <c r="T7" i="4"/>
  <c r="T6" i="4"/>
  <c r="U6" i="4" s="1"/>
  <c r="U7" i="4" s="1"/>
  <c r="U5" i="4"/>
  <c r="T5" i="4"/>
  <c r="T95" i="3"/>
  <c r="S93" i="3"/>
  <c r="S94" i="3" s="1"/>
  <c r="S96" i="3" s="1"/>
  <c r="R93" i="3"/>
  <c r="R94" i="3" s="1"/>
  <c r="R96" i="3" s="1"/>
  <c r="Q93" i="3"/>
  <c r="Q94" i="3" s="1"/>
  <c r="Q96" i="3" s="1"/>
  <c r="P93" i="3"/>
  <c r="P94" i="3" s="1"/>
  <c r="P96" i="3" s="1"/>
  <c r="O93" i="3"/>
  <c r="N93" i="3"/>
  <c r="M93" i="3"/>
  <c r="L93" i="3"/>
  <c r="K93" i="3"/>
  <c r="K94" i="3" s="1"/>
  <c r="K96" i="3" s="1"/>
  <c r="J93" i="3"/>
  <c r="I93" i="3"/>
  <c r="I94" i="3" s="1"/>
  <c r="I96" i="3" s="1"/>
  <c r="H93" i="3"/>
  <c r="H94" i="3" s="1"/>
  <c r="H96" i="3" s="1"/>
  <c r="G93" i="3"/>
  <c r="F93" i="3"/>
  <c r="E93" i="3"/>
  <c r="D93" i="3"/>
  <c r="T92" i="3"/>
  <c r="U92" i="3" s="1"/>
  <c r="D91" i="3"/>
  <c r="T91" i="3" s="1"/>
  <c r="U91" i="3" s="1"/>
  <c r="T89" i="3"/>
  <c r="D88" i="3"/>
  <c r="T88" i="3" s="1"/>
  <c r="T87" i="3"/>
  <c r="T86" i="3"/>
  <c r="T85" i="3"/>
  <c r="D84" i="3"/>
  <c r="T84" i="3" s="1"/>
  <c r="D83" i="3"/>
  <c r="T83" i="3" s="1"/>
  <c r="I82" i="3"/>
  <c r="F82" i="3"/>
  <c r="F94" i="3" s="1"/>
  <c r="F96" i="3" s="1"/>
  <c r="E82" i="3"/>
  <c r="D82" i="3"/>
  <c r="I81" i="3"/>
  <c r="G81" i="3"/>
  <c r="T81" i="3" s="1"/>
  <c r="T80" i="3"/>
  <c r="J79" i="3"/>
  <c r="T79" i="3" s="1"/>
  <c r="L78" i="3"/>
  <c r="L94" i="3" s="1"/>
  <c r="L96" i="3" s="1"/>
  <c r="E78" i="3"/>
  <c r="T78" i="3" s="1"/>
  <c r="T77" i="3"/>
  <c r="T76" i="3"/>
  <c r="O75" i="3"/>
  <c r="T75" i="3" s="1"/>
  <c r="D74" i="3"/>
  <c r="T74" i="3" s="1"/>
  <c r="T73" i="3"/>
  <c r="T72" i="3"/>
  <c r="T71" i="3"/>
  <c r="J70" i="3"/>
  <c r="T70" i="3" s="1"/>
  <c r="I70" i="3"/>
  <c r="O69" i="3"/>
  <c r="O94" i="3" s="1"/>
  <c r="O96" i="3" s="1"/>
  <c r="M69" i="3"/>
  <c r="M94" i="3" s="1"/>
  <c r="M96" i="3" s="1"/>
  <c r="T68" i="3"/>
  <c r="T67" i="3"/>
  <c r="T66" i="3"/>
  <c r="T65" i="3"/>
  <c r="T64" i="3"/>
  <c r="N63" i="3"/>
  <c r="T63" i="3" s="1"/>
  <c r="T62" i="3"/>
  <c r="T61" i="3"/>
  <c r="N61" i="3"/>
  <c r="N94" i="3" s="1"/>
  <c r="N96" i="3" s="1"/>
  <c r="G61" i="3"/>
  <c r="D60" i="3"/>
  <c r="T59" i="3"/>
  <c r="T58" i="3"/>
  <c r="G57" i="3"/>
  <c r="T57" i="3" s="1"/>
  <c r="G56" i="3"/>
  <c r="T56" i="3" s="1"/>
  <c r="T55" i="3"/>
  <c r="T54" i="3"/>
  <c r="P53" i="3"/>
  <c r="E53" i="3"/>
  <c r="T53" i="3" s="1"/>
  <c r="T52" i="3"/>
  <c r="T51" i="3"/>
  <c r="T50" i="3"/>
  <c r="E49" i="3"/>
  <c r="T49" i="3" s="1"/>
  <c r="T48" i="3"/>
  <c r="T47" i="3"/>
  <c r="E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U5" i="3" s="1"/>
  <c r="T129" i="2"/>
  <c r="P128" i="2"/>
  <c r="P130" i="2" s="1"/>
  <c r="H128" i="2"/>
  <c r="H130" i="2" s="1"/>
  <c r="S127" i="2"/>
  <c r="S128" i="2" s="1"/>
  <c r="S130" i="2" s="1"/>
  <c r="R127" i="2"/>
  <c r="R128" i="2" s="1"/>
  <c r="R130" i="2" s="1"/>
  <c r="Q127" i="2"/>
  <c r="Q128" i="2" s="1"/>
  <c r="Q130" i="2" s="1"/>
  <c r="P127" i="2"/>
  <c r="O127" i="2"/>
  <c r="O128" i="2" s="1"/>
  <c r="O130" i="2" s="1"/>
  <c r="N127" i="2"/>
  <c r="N128" i="2" s="1"/>
  <c r="N130" i="2" s="1"/>
  <c r="M127" i="2"/>
  <c r="M128" i="2" s="1"/>
  <c r="M130" i="2" s="1"/>
  <c r="L127" i="2"/>
  <c r="L128" i="2" s="1"/>
  <c r="L130" i="2" s="1"/>
  <c r="K127" i="2"/>
  <c r="K128" i="2" s="1"/>
  <c r="K130" i="2" s="1"/>
  <c r="J127" i="2"/>
  <c r="I127" i="2"/>
  <c r="I128" i="2" s="1"/>
  <c r="I130" i="2" s="1"/>
  <c r="H127" i="2"/>
  <c r="G127" i="2"/>
  <c r="G128" i="2" s="1"/>
  <c r="G130" i="2" s="1"/>
  <c r="F127" i="2"/>
  <c r="F128" i="2" s="1"/>
  <c r="F130" i="2" s="1"/>
  <c r="E127" i="2"/>
  <c r="E128" i="2" s="1"/>
  <c r="E130" i="2" s="1"/>
  <c r="D127" i="2"/>
  <c r="D128" i="2" s="1"/>
  <c r="C127" i="2"/>
  <c r="T126" i="2"/>
  <c r="U126" i="2" s="1"/>
  <c r="U125" i="2"/>
  <c r="T125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J99" i="2"/>
  <c r="J128" i="2" s="1"/>
  <c r="J130" i="2" s="1"/>
  <c r="H99" i="2"/>
  <c r="T99" i="2" s="1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3" i="2"/>
  <c r="T39" i="2"/>
  <c r="T36" i="2"/>
  <c r="T30" i="2"/>
  <c r="T29" i="2"/>
  <c r="T28" i="2"/>
  <c r="T23" i="2"/>
  <c r="T22" i="2"/>
  <c r="T15" i="2"/>
  <c r="T10" i="2"/>
  <c r="T4" i="2"/>
  <c r="U4" i="2" s="1"/>
  <c r="T129" i="1"/>
  <c r="S127" i="1"/>
  <c r="R127" i="1"/>
  <c r="Q127" i="1"/>
  <c r="P127" i="1"/>
  <c r="O127" i="1"/>
  <c r="N127" i="1"/>
  <c r="M127" i="1"/>
  <c r="L127" i="1"/>
  <c r="K127" i="1"/>
  <c r="J127" i="1"/>
  <c r="J128" i="1" s="1"/>
  <c r="J130" i="1" s="1"/>
  <c r="I127" i="1"/>
  <c r="H127" i="1"/>
  <c r="H128" i="1" s="1"/>
  <c r="H130" i="1" s="1"/>
  <c r="G127" i="1"/>
  <c r="F127" i="1"/>
  <c r="E127" i="1"/>
  <c r="D127" i="1"/>
  <c r="B127" i="1"/>
  <c r="C127" i="1" s="1"/>
  <c r="T126" i="1"/>
  <c r="B126" i="1"/>
  <c r="C126" i="1" s="1"/>
  <c r="T125" i="1"/>
  <c r="T124" i="1"/>
  <c r="T123" i="1"/>
  <c r="T122" i="1"/>
  <c r="T121" i="1"/>
  <c r="T120" i="1"/>
  <c r="T119" i="1"/>
  <c r="T118" i="1"/>
  <c r="T117" i="1"/>
  <c r="T116" i="1"/>
  <c r="E115" i="1"/>
  <c r="D115" i="1"/>
  <c r="T115" i="1" s="1"/>
  <c r="T114" i="1"/>
  <c r="T113" i="1"/>
  <c r="T112" i="1"/>
  <c r="I111" i="1"/>
  <c r="I128" i="1" s="1"/>
  <c r="I130" i="1" s="1"/>
  <c r="G111" i="1"/>
  <c r="T111" i="1" s="1"/>
  <c r="T110" i="1"/>
  <c r="T109" i="1"/>
  <c r="L109" i="1"/>
  <c r="T108" i="1"/>
  <c r="T107" i="1"/>
  <c r="N106" i="1"/>
  <c r="L106" i="1"/>
  <c r="L128" i="1" s="1"/>
  <c r="L130" i="1" s="1"/>
  <c r="E106" i="1"/>
  <c r="T106" i="1" s="1"/>
  <c r="T105" i="1"/>
  <c r="T104" i="1"/>
  <c r="T103" i="1"/>
  <c r="T102" i="1"/>
  <c r="T101" i="1"/>
  <c r="N101" i="1"/>
  <c r="M101" i="1"/>
  <c r="G100" i="1"/>
  <c r="T100" i="1" s="1"/>
  <c r="F99" i="1"/>
  <c r="T99" i="1" s="1"/>
  <c r="T98" i="1"/>
  <c r="T97" i="1"/>
  <c r="N96" i="1"/>
  <c r="T96" i="1" s="1"/>
  <c r="O95" i="1"/>
  <c r="F95" i="1"/>
  <c r="T94" i="1"/>
  <c r="T93" i="1"/>
  <c r="T92" i="1"/>
  <c r="T91" i="1"/>
  <c r="T90" i="1"/>
  <c r="P89" i="1"/>
  <c r="N89" i="1"/>
  <c r="T89" i="1" s="1"/>
  <c r="T88" i="1"/>
  <c r="T87" i="1"/>
  <c r="T86" i="1"/>
  <c r="Q85" i="1"/>
  <c r="P85" i="1"/>
  <c r="N85" i="1"/>
  <c r="G85" i="1"/>
  <c r="E85" i="1"/>
  <c r="D85" i="1"/>
  <c r="D128" i="1" s="1"/>
  <c r="T84" i="1"/>
  <c r="T83" i="1"/>
  <c r="T82" i="1"/>
  <c r="T81" i="1"/>
  <c r="E80" i="1"/>
  <c r="T80" i="1" s="1"/>
  <c r="T79" i="1"/>
  <c r="N79" i="1"/>
  <c r="M79" i="1"/>
  <c r="R78" i="1"/>
  <c r="Q78" i="1"/>
  <c r="P78" i="1"/>
  <c r="T78" i="1" s="1"/>
  <c r="O78" i="1"/>
  <c r="O128" i="1" s="1"/>
  <c r="O130" i="1" s="1"/>
  <c r="N78" i="1"/>
  <c r="E78" i="1"/>
  <c r="T77" i="1"/>
  <c r="S76" i="1"/>
  <c r="S128" i="1" s="1"/>
  <c r="S130" i="1" s="1"/>
  <c r="Q76" i="1"/>
  <c r="P76" i="1"/>
  <c r="G76" i="1"/>
  <c r="T76" i="1" s="1"/>
  <c r="R75" i="1"/>
  <c r="R128" i="1" s="1"/>
  <c r="R130" i="1" s="1"/>
  <c r="G75" i="1"/>
  <c r="G128" i="1" s="1"/>
  <c r="G130" i="1" s="1"/>
  <c r="E75" i="1"/>
  <c r="T75" i="1" s="1"/>
  <c r="T74" i="1"/>
  <c r="M73" i="1"/>
  <c r="K73" i="1"/>
  <c r="T73" i="1" s="1"/>
  <c r="E73" i="1"/>
  <c r="M72" i="1"/>
  <c r="K72" i="1"/>
  <c r="E72" i="1"/>
  <c r="T72" i="1" s="1"/>
  <c r="T71" i="1"/>
  <c r="T70" i="1"/>
  <c r="T69" i="1"/>
  <c r="T68" i="1"/>
  <c r="T67" i="1"/>
  <c r="T66" i="1"/>
  <c r="T65" i="1"/>
  <c r="T64" i="1"/>
  <c r="E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T5" i="1"/>
  <c r="U4" i="1"/>
  <c r="U5" i="1" s="1"/>
  <c r="T4" i="1"/>
  <c r="U6" i="3" l="1"/>
  <c r="U7" i="3" s="1"/>
  <c r="U8" i="3" s="1"/>
  <c r="U9" i="3" s="1"/>
  <c r="U10" i="3" s="1"/>
  <c r="U11" i="3" s="1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U38" i="3" s="1"/>
  <c r="U39" i="3" s="1"/>
  <c r="U40" i="3" s="1"/>
  <c r="U41" i="3" s="1"/>
  <c r="U42" i="3" s="1"/>
  <c r="U43" i="3" s="1"/>
  <c r="U44" i="3" s="1"/>
  <c r="U45" i="3" s="1"/>
  <c r="E94" i="3"/>
  <c r="E96" i="3" s="1"/>
  <c r="D94" i="3"/>
  <c r="G94" i="3"/>
  <c r="G96" i="3" s="1"/>
  <c r="T82" i="3"/>
  <c r="R6" i="6"/>
  <c r="R7" i="6" s="1"/>
  <c r="D95" i="6"/>
  <c r="Q93" i="6"/>
  <c r="Q95" i="6" s="1"/>
  <c r="Q8" i="6"/>
  <c r="Q5" i="6"/>
  <c r="R5" i="6" s="1"/>
  <c r="T93" i="5"/>
  <c r="T95" i="5" s="1"/>
  <c r="D95" i="5"/>
  <c r="U11" i="5"/>
  <c r="U12" i="5" s="1"/>
  <c r="U13" i="5" s="1"/>
  <c r="U14" i="5" s="1"/>
  <c r="U15" i="5" s="1"/>
  <c r="U16" i="5" s="1"/>
  <c r="U17" i="5" s="1"/>
  <c r="U18" i="5" s="1"/>
  <c r="U19" i="5" s="1"/>
  <c r="U20" i="5" s="1"/>
  <c r="U21" i="5" s="1"/>
  <c r="U22" i="5" s="1"/>
  <c r="U23" i="5" s="1"/>
  <c r="U24" i="5" s="1"/>
  <c r="U25" i="5" s="1"/>
  <c r="U26" i="5" s="1"/>
  <c r="U27" i="5" s="1"/>
  <c r="U28" i="5" s="1"/>
  <c r="U29" i="5" s="1"/>
  <c r="U30" i="5" s="1"/>
  <c r="U31" i="5" s="1"/>
  <c r="U32" i="5" s="1"/>
  <c r="U33" i="5" s="1"/>
  <c r="U34" i="5" s="1"/>
  <c r="U35" i="5" s="1"/>
  <c r="U36" i="5" s="1"/>
  <c r="U37" i="5" s="1"/>
  <c r="U38" i="5" s="1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9" i="5"/>
  <c r="U10" i="5" s="1"/>
  <c r="T75" i="5"/>
  <c r="U10" i="4"/>
  <c r="U11" i="4" s="1"/>
  <c r="U12" i="4" s="1"/>
  <c r="U13" i="4" s="1"/>
  <c r="U14" i="4" s="1"/>
  <c r="U15" i="4" s="1"/>
  <c r="U16" i="4" s="1"/>
  <c r="U17" i="4" s="1"/>
  <c r="U8" i="4"/>
  <c r="U9" i="4" s="1"/>
  <c r="U91" i="4"/>
  <c r="D95" i="4"/>
  <c r="T18" i="4"/>
  <c r="K93" i="4"/>
  <c r="K95" i="4" s="1"/>
  <c r="D96" i="3"/>
  <c r="T69" i="3"/>
  <c r="J94" i="3"/>
  <c r="J96" i="3" s="1"/>
  <c r="T60" i="3"/>
  <c r="T46" i="3"/>
  <c r="U10" i="2"/>
  <c r="U15" i="2" s="1"/>
  <c r="D130" i="2"/>
  <c r="T128" i="2"/>
  <c r="T130" i="2" s="1"/>
  <c r="U22" i="2"/>
  <c r="U23" i="2" s="1"/>
  <c r="U28" i="2"/>
  <c r="U29" i="2" s="1"/>
  <c r="U30" i="2" s="1"/>
  <c r="U36" i="2" s="1"/>
  <c r="U39" i="2" s="1"/>
  <c r="U43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T127" i="2"/>
  <c r="E128" i="1"/>
  <c r="E130" i="1" s="1"/>
  <c r="P128" i="1"/>
  <c r="P130" i="1" s="1"/>
  <c r="D130" i="1"/>
  <c r="K128" i="1"/>
  <c r="K130" i="1" s="1"/>
  <c r="M128" i="1"/>
  <c r="M130" i="1" s="1"/>
  <c r="F128" i="1"/>
  <c r="F130" i="1" s="1"/>
  <c r="T95" i="1"/>
  <c r="Q128" i="1"/>
  <c r="Q130" i="1" s="1"/>
  <c r="N128" i="1"/>
  <c r="N130" i="1" s="1"/>
  <c r="T85" i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R8" i="6" l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R29" i="6" s="1"/>
  <c r="R30" i="6" s="1"/>
  <c r="R31" i="6" s="1"/>
  <c r="R32" i="6" s="1"/>
  <c r="R33" i="6" s="1"/>
  <c r="R34" i="6" s="1"/>
  <c r="R35" i="6" s="1"/>
  <c r="R36" i="6" s="1"/>
  <c r="R37" i="6" s="1"/>
  <c r="R38" i="6" s="1"/>
  <c r="R39" i="6" s="1"/>
  <c r="R40" i="6" s="1"/>
  <c r="R41" i="6" s="1"/>
  <c r="R42" i="6" s="1"/>
  <c r="R43" i="6" s="1"/>
  <c r="R44" i="6" s="1"/>
  <c r="R45" i="6" s="1"/>
  <c r="R46" i="6" s="1"/>
  <c r="R47" i="6" s="1"/>
  <c r="R48" i="6" s="1"/>
  <c r="R49" i="6" s="1"/>
  <c r="R50" i="6" s="1"/>
  <c r="R51" i="6" s="1"/>
  <c r="R52" i="6" s="1"/>
  <c r="R53" i="6" s="1"/>
  <c r="R54" i="6" s="1"/>
  <c r="R55" i="6" s="1"/>
  <c r="R56" i="6" s="1"/>
  <c r="R57" i="6" s="1"/>
  <c r="R58" i="6" s="1"/>
  <c r="R59" i="6" s="1"/>
  <c r="R60" i="6" s="1"/>
  <c r="R61" i="6" s="1"/>
  <c r="R62" i="6" s="1"/>
  <c r="R63" i="6" s="1"/>
  <c r="R64" i="6" s="1"/>
  <c r="R65" i="6" s="1"/>
  <c r="R66" i="6" s="1"/>
  <c r="R67" i="6" s="1"/>
  <c r="R68" i="6" s="1"/>
  <c r="R69" i="6" s="1"/>
  <c r="R70" i="6" s="1"/>
  <c r="R71" i="6" s="1"/>
  <c r="R72" i="6" s="1"/>
  <c r="R73" i="6" s="1"/>
  <c r="R74" i="6" s="1"/>
  <c r="R75" i="6" s="1"/>
  <c r="R76" i="6" s="1"/>
  <c r="R77" i="6" s="1"/>
  <c r="R78" i="6" s="1"/>
  <c r="R79" i="6" s="1"/>
  <c r="R80" i="6" s="1"/>
  <c r="R81" i="6" s="1"/>
  <c r="R82" i="6" s="1"/>
  <c r="R83" i="6" s="1"/>
  <c r="R84" i="6" s="1"/>
  <c r="R85" i="6" s="1"/>
  <c r="U75" i="5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18" i="4"/>
  <c r="U19" i="4" s="1"/>
  <c r="U20" i="4" s="1"/>
  <c r="U21" i="4" s="1"/>
  <c r="U22" i="4" s="1"/>
  <c r="U23" i="4" s="1"/>
  <c r="U24" i="4" s="1"/>
  <c r="U25" i="4" s="1"/>
  <c r="U26" i="4" s="1"/>
  <c r="U27" i="4" s="1"/>
  <c r="U28" i="4" s="1"/>
  <c r="U29" i="4" s="1"/>
  <c r="U30" i="4" s="1"/>
  <c r="U31" i="4" s="1"/>
  <c r="U32" i="4" s="1"/>
  <c r="U33" i="4" s="1"/>
  <c r="U34" i="4" s="1"/>
  <c r="U35" i="4" s="1"/>
  <c r="U36" i="4" s="1"/>
  <c r="U37" i="4" s="1"/>
  <c r="U38" i="4" s="1"/>
  <c r="U39" i="4" s="1"/>
  <c r="U40" i="4" s="1"/>
  <c r="U41" i="4" s="1"/>
  <c r="U42" i="4" s="1"/>
  <c r="U43" i="4" s="1"/>
  <c r="U44" i="4" s="1"/>
  <c r="U45" i="4" s="1"/>
  <c r="U46" i="4" s="1"/>
  <c r="U47" i="4" s="1"/>
  <c r="U48" i="4" s="1"/>
  <c r="U49" i="4" s="1"/>
  <c r="U50" i="4" s="1"/>
  <c r="U51" i="4" s="1"/>
  <c r="U52" i="4" s="1"/>
  <c r="U53" i="4" s="1"/>
  <c r="U54" i="4" s="1"/>
  <c r="U55" i="4" s="1"/>
  <c r="U56" i="4" s="1"/>
  <c r="U57" i="4" s="1"/>
  <c r="U58" i="4" s="1"/>
  <c r="U59" i="4" s="1"/>
  <c r="U60" i="4" s="1"/>
  <c r="U61" i="4" s="1"/>
  <c r="U62" i="4" s="1"/>
  <c r="U63" i="4" s="1"/>
  <c r="U64" i="4" s="1"/>
  <c r="U65" i="4" s="1"/>
  <c r="U66" i="4" s="1"/>
  <c r="U67" i="4" s="1"/>
  <c r="U68" i="4" s="1"/>
  <c r="U69" i="4" s="1"/>
  <c r="U70" i="4" s="1"/>
  <c r="U71" i="4" s="1"/>
  <c r="U72" i="4" s="1"/>
  <c r="U73" i="4" s="1"/>
  <c r="U74" i="4" s="1"/>
  <c r="U75" i="4" s="1"/>
  <c r="U76" i="4" s="1"/>
  <c r="U77" i="4" s="1"/>
  <c r="U78" i="4" s="1"/>
  <c r="U79" i="4" s="1"/>
  <c r="U80" i="4" s="1"/>
  <c r="U81" i="4" s="1"/>
  <c r="U82" i="4" s="1"/>
  <c r="U83" i="4" s="1"/>
  <c r="U84" i="4" s="1"/>
  <c r="U85" i="4" s="1"/>
  <c r="T93" i="4"/>
  <c r="T95" i="4" s="1"/>
  <c r="U46" i="3"/>
  <c r="U47" i="3" s="1"/>
  <c r="U48" i="3" s="1"/>
  <c r="U49" i="3" s="1"/>
  <c r="U50" i="3" s="1"/>
  <c r="U51" i="3" s="1"/>
  <c r="U52" i="3" s="1"/>
  <c r="U53" i="3" s="1"/>
  <c r="U54" i="3" s="1"/>
  <c r="U55" i="3" s="1"/>
  <c r="U56" i="3" s="1"/>
  <c r="U57" i="3" s="1"/>
  <c r="U58" i="3" s="1"/>
  <c r="U59" i="3" s="1"/>
  <c r="U60" i="3" s="1"/>
  <c r="U61" i="3" s="1"/>
  <c r="U62" i="3" s="1"/>
  <c r="U63" i="3" s="1"/>
  <c r="U64" i="3" s="1"/>
  <c r="U65" i="3" s="1"/>
  <c r="U66" i="3" s="1"/>
  <c r="U67" i="3" s="1"/>
  <c r="U68" i="3" s="1"/>
  <c r="U69" i="3" s="1"/>
  <c r="U70" i="3" s="1"/>
  <c r="U71" i="3" s="1"/>
  <c r="U72" i="3" s="1"/>
  <c r="U73" i="3" s="1"/>
  <c r="U74" i="3" s="1"/>
  <c r="U75" i="3" s="1"/>
  <c r="U76" i="3" s="1"/>
  <c r="U77" i="3" s="1"/>
  <c r="U78" i="3" s="1"/>
  <c r="U79" i="3" s="1"/>
  <c r="U80" i="3" s="1"/>
  <c r="U81" i="3" s="1"/>
  <c r="U82" i="3" s="1"/>
  <c r="U83" i="3" s="1"/>
  <c r="U84" i="3" s="1"/>
  <c r="U85" i="3" s="1"/>
  <c r="T94" i="3"/>
  <c r="T96" i="3" s="1"/>
  <c r="T93" i="3"/>
  <c r="T128" i="1"/>
  <c r="T130" i="1" s="1"/>
  <c r="T127" i="1"/>
</calcChain>
</file>

<file path=xl/sharedStrings.xml><?xml version="1.0" encoding="utf-8"?>
<sst xmlns="http://schemas.openxmlformats.org/spreadsheetml/2006/main" count="639" uniqueCount="141">
  <si>
    <t>Lietsjieplukprogram</t>
  </si>
  <si>
    <t>Week</t>
  </si>
  <si>
    <t>Tot</t>
  </si>
  <si>
    <t>Akk</t>
  </si>
  <si>
    <t>Totaal</t>
  </si>
  <si>
    <t>Bome</t>
  </si>
  <si>
    <t>Kg/boom</t>
  </si>
  <si>
    <t>20/08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</si>
  <si>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</si>
  <si>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</si>
  <si>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</si>
  <si>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</si>
  <si>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</si>
  <si>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</si>
  <si>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</si>
  <si>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</si>
  <si>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</si>
  <si>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</si>
  <si>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1/09</t>
  </si>
  <si>
    <t>2/09</t>
  </si>
  <si>
    <t>3/09</t>
  </si>
  <si>
    <t>4/09</t>
  </si>
  <si>
    <t>5/09</t>
  </si>
  <si>
    <t>6/09</t>
  </si>
  <si>
    <t>7/09</t>
  </si>
  <si>
    <t>8/09</t>
  </si>
  <si>
    <t>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</si>
  <si>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</si>
  <si>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</si>
  <si>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</si>
  <si>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</si>
  <si>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</si>
  <si>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</si>
  <si>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</si>
  <si>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</si>
  <si>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</si>
  <si>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</si>
  <si>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</si>
  <si>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</si>
  <si>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</si>
  <si>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</si>
  <si>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</si>
  <si>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</si>
  <si>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</si>
  <si>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</si>
  <si>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</si>
  <si>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</si>
  <si>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</si>
  <si>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1/01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</si>
  <si>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</si>
  <si>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</si>
  <si>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</si>
  <si>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</si>
  <si>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</si>
  <si>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</si>
  <si>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</si>
  <si>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</si>
  <si>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</si>
  <si>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</si>
  <si>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</si>
  <si>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</si>
  <si>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</si>
  <si>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</si>
  <si>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</si>
  <si>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</si>
  <si>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</si>
  <si>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</si>
  <si>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</si>
  <si>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</si>
  <si>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</si>
  <si>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</si>
  <si>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</si>
  <si>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</si>
  <si>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</si>
  <si>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</si>
  <si>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</si>
  <si>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</si>
  <si>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</si>
  <si>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31/10</t>
  </si>
  <si>
    <t>1/11</t>
  </si>
  <si>
    <t>2/11</t>
  </si>
  <si>
    <t>3/11</t>
  </si>
  <si>
    <t>4/11</t>
  </si>
  <si>
    <t>5/11</t>
  </si>
  <si>
    <t>6/11</t>
  </si>
  <si>
    <t>7/11</t>
  </si>
  <si>
    <t>8/11</t>
  </si>
  <si>
    <t>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</si>
  <si>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</si>
  <si>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</si>
  <si>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</si>
  <si>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</si>
  <si>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</si>
  <si>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</si>
  <si>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</si>
  <si>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</si>
  <si>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</si>
  <si>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M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</si>
  <si>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</si>
  <si>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</si>
  <si>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</si>
  <si>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</si>
  <si>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</si>
  <si>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</si>
  <si>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</si>
  <si>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</si>
  <si>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</si>
  <si>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</si>
  <si>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</si>
  <si>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</si>
  <si>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1/12</t>
  </si>
  <si>
    <t>2/12</t>
  </si>
  <si>
    <t>3/12</t>
  </si>
  <si>
    <t>4/12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</si>
  <si>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</si>
  <si>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</si>
  <si>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</si>
  <si>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</si>
  <si>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</si>
  <si>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</si>
  <si>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</si>
  <si>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</si>
  <si>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13/12</t>
  </si>
  <si>
    <t>14/12</t>
  </si>
  <si>
    <t>15/12</t>
  </si>
  <si>
    <t>16/12</t>
  </si>
  <si>
    <t>17/12</t>
  </si>
  <si>
    <t>18/12</t>
  </si>
  <si>
    <t>19/12</t>
  </si>
  <si>
    <t>20/12</t>
  </si>
  <si>
    <t>21/12</t>
  </si>
  <si>
    <t>22/12</t>
  </si>
  <si>
    <t>35,5,</t>
  </si>
  <si>
    <t>1/10</t>
  </si>
  <si>
    <t>23/12</t>
  </si>
  <si>
    <t>`</t>
  </si>
  <si>
    <t>16/9</t>
  </si>
  <si>
    <t>22/9</t>
  </si>
  <si>
    <t>27/9</t>
  </si>
  <si>
    <t>29/9</t>
  </si>
  <si>
    <t>30/9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</si>
</sst>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ptos Narrow"/>
      <family val="2"/>
      <scheme val="minor"/>
    </font>
    <font>
      <b/>
      <sz val="12"/>
      <name val="Arial Baltic"/>
    </font>
    <font>
      <sz val="12"/>
      <name val="Arial Baltic"/>
    </font>
    <font>
      <b/>
      <sz val="12"/>
      <color rgb="FF7030A0"/>
      <name val="Arial Baltic"/>
    </font>
    <font>
      <b/>
      <sz val="12"/>
      <color rgb="FF00B0F0"/>
      <name val="Arial Baltic"/>
    </font>
    <font>
      <b/>
      <sz val="12"/>
      <color rgb="FFFF0000"/>
      <name val="Arial Baltic"/>
    </font>
    <font>
      <b/>
      <sz val="12"/>
      <color rgb="FFFF00FF"/>
      <name val="Arial Baltic"/>
    </font>
    <font>
      <b/>
      <sz val="12"/>
      <color indexed="1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color indexed="20"/>
      <name val="Arial Baltic"/>
    </font>
    <font>
      <sz val="12"/>
      <color indexed="10"/>
      <name val="Arial Baltic"/>
    </font>
    <font>
      <sz val="12"/>
      <color rgb="FF00B0F0"/>
      <name val="Arial"/>
      <family val="2"/>
    </font>
    <font>
      <b/>
      <sz val="12"/>
      <color rgb="FF009900"/>
      <name val="Arial Baltic"/>
    </font>
    <font>
      <b/>
      <sz val="12"/>
      <color theme="9" tint="-0.499984740745262"/>
      <name val="Arial Baltic"/>
    </font>
    <font>
      <b/>
      <sz val="12"/>
      <color rgb="FFFFC000"/>
      <name val="Arial Baltic"/>
    </font>
    <font>
      <b/>
      <sz val="12"/>
      <color rgb="FF00B0F0"/>
      <name val="Arial"/>
      <family val="2"/>
    </font>
    <font>
      <b/>
      <sz val="12"/>
      <color rgb="FFE2B614"/>
      <name val="Arial Baltic"/>
    </font>
    <font>
      <sz val="12"/>
      <color rgb="FF009900"/>
      <name val="Arial"/>
      <family val="2"/>
    </font>
    <font>
      <sz val="12"/>
      <color rgb="FFE2B614"/>
      <name val="Arial"/>
      <family val="2"/>
    </font>
    <font>
      <b/>
      <sz val="12"/>
      <color rgb="FF0070C0"/>
      <name val="Arial Baltic"/>
    </font>
    <font>
      <b/>
      <sz val="12"/>
      <color rgb="FF00B050"/>
      <name val="Arial Baltic"/>
    </font>
    <font>
      <sz val="12"/>
      <color rgb="FF0070C0"/>
      <name val="Arial"/>
      <family val="2"/>
    </font>
    <font>
      <sz val="12"/>
      <color rgb="FF00B050"/>
      <name val="Arial"/>
      <family val="2"/>
    </font>
    <font>
      <b/>
      <sz val="12"/>
      <color rgb="FFC00000"/>
      <name val="Arial Baltic"/>
    </font>
    <font>
      <sz val="12"/>
      <color rgb="FFC00000"/>
      <name val="Arial"/>
      <family val="2"/>
    </font>
    <font>
      <sz val="12"/>
      <color rgb="FFFFC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0" borderId="1" xfId="0" applyFont="1" applyBorder="1"/>
    <xf numFmtId="1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3" fontId="3" fillId="2" borderId="4" xfId="0" applyNumberFormat="1" applyFont="1" applyFill="1" applyBorder="1" applyAlignment="1">
      <alignment horizontal="center"/>
    </xf>
    <xf numFmtId="3" fontId="3" fillId="2" borderId="6" xfId="0" quotePrefix="1" applyNumberFormat="1" applyFont="1" applyFill="1" applyBorder="1" applyAlignment="1">
      <alignment horizontal="center"/>
    </xf>
    <xf numFmtId="3" fontId="3" fillId="2" borderId="7" xfId="0" quotePrefix="1" applyNumberFormat="1" applyFont="1" applyFill="1" applyBorder="1" applyAlignment="1">
      <alignment horizontal="center"/>
    </xf>
    <xf numFmtId="1" fontId="3" fillId="2" borderId="8" xfId="0" applyNumberFormat="1" applyFont="1" applyFill="1" applyBorder="1" applyAlignment="1">
      <alignment horizontal="center"/>
    </xf>
    <xf numFmtId="1" fontId="3" fillId="2" borderId="9" xfId="0" applyNumberFormat="1" applyFont="1" applyFill="1" applyBorder="1" applyAlignment="1">
      <alignment horizontal="center"/>
    </xf>
    <xf numFmtId="3" fontId="3" fillId="2" borderId="10" xfId="0" applyNumberFormat="1" applyFont="1" applyFill="1" applyBorder="1" applyAlignment="1">
      <alignment horizontal="center"/>
    </xf>
    <xf numFmtId="3" fontId="3" fillId="2" borderId="11" xfId="0" quotePrefix="1" applyNumberFormat="1" applyFont="1" applyFill="1" applyBorder="1" applyAlignment="1">
      <alignment horizontal="center"/>
    </xf>
    <xf numFmtId="3" fontId="3" fillId="2" borderId="12" xfId="0" quotePrefix="1" applyNumberFormat="1" applyFont="1" applyFill="1" applyBorder="1" applyAlignment="1">
      <alignment horizontal="center"/>
    </xf>
    <xf numFmtId="1" fontId="3" fillId="2" borderId="13" xfId="0" applyNumberFormat="1" applyFont="1" applyFill="1" applyBorder="1" applyAlignment="1">
      <alignment horizontal="center"/>
    </xf>
    <xf numFmtId="1" fontId="3" fillId="2" borderId="14" xfId="0" applyNumberFormat="1" applyFont="1" applyFill="1" applyBorder="1" applyAlignment="1">
      <alignment horizontal="center"/>
    </xf>
    <xf numFmtId="3" fontId="3" fillId="2" borderId="15" xfId="0" quotePrefix="1" applyNumberFormat="1" applyFont="1" applyFill="1" applyBorder="1" applyAlignment="1">
      <alignment horizontal="center"/>
    </xf>
    <xf numFmtId="3" fontId="3" fillId="2" borderId="16" xfId="0" applyNumberFormat="1" applyFont="1" applyFill="1" applyBorder="1" applyAlignment="1">
      <alignment horizontal="center"/>
    </xf>
    <xf numFmtId="3" fontId="3" fillId="2" borderId="18" xfId="0" quotePrefix="1" applyNumberFormat="1" applyFont="1" applyFill="1" applyBorder="1" applyAlignment="1">
      <alignment horizontal="center"/>
    </xf>
    <xf numFmtId="3" fontId="3" fillId="2" borderId="19" xfId="0" quotePrefix="1" applyNumberFormat="1" applyFont="1" applyFill="1" applyBorder="1" applyAlignment="1">
      <alignment horizontal="center"/>
    </xf>
    <xf numFmtId="1" fontId="3" fillId="2" borderId="20" xfId="0" applyNumberFormat="1" applyFont="1" applyFill="1" applyBorder="1" applyAlignment="1">
      <alignment horizontal="center"/>
    </xf>
    <xf numFmtId="3" fontId="3" fillId="3" borderId="10" xfId="0" applyNumberFormat="1" applyFont="1" applyFill="1" applyBorder="1" applyAlignment="1">
      <alignment horizontal="center"/>
    </xf>
    <xf numFmtId="1" fontId="3" fillId="4" borderId="13" xfId="0" applyNumberFormat="1" applyFont="1" applyFill="1" applyBorder="1" applyAlignment="1">
      <alignment horizontal="center"/>
    </xf>
    <xf numFmtId="3" fontId="3" fillId="3" borderId="16" xfId="0" applyNumberFormat="1" applyFont="1" applyFill="1" applyBorder="1" applyAlignment="1">
      <alignment horizontal="center"/>
    </xf>
    <xf numFmtId="1" fontId="3" fillId="4" borderId="20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1" fontId="3" fillId="3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center"/>
    </xf>
    <xf numFmtId="1" fontId="3" fillId="3" borderId="13" xfId="0" applyNumberFormat="1" applyFont="1" applyFill="1" applyBorder="1" applyAlignment="1">
      <alignment horizontal="center"/>
    </xf>
    <xf numFmtId="1" fontId="3" fillId="3" borderId="20" xfId="0" applyNumberFormat="1" applyFont="1" applyFill="1" applyBorder="1" applyAlignment="1">
      <alignment horizontal="center"/>
    </xf>
    <xf numFmtId="3" fontId="3" fillId="3" borderId="15" xfId="0" quotePrefix="1" applyNumberFormat="1" applyFont="1" applyFill="1" applyBorder="1" applyAlignment="1">
      <alignment horizontal="center"/>
    </xf>
    <xf numFmtId="3" fontId="4" fillId="3" borderId="16" xfId="0" applyNumberFormat="1" applyFont="1" applyFill="1" applyBorder="1" applyAlignment="1">
      <alignment horizontal="center"/>
    </xf>
    <xf numFmtId="3" fontId="4" fillId="3" borderId="17" xfId="0" quotePrefix="1" applyNumberFormat="1" applyFont="1" applyFill="1" applyBorder="1" applyAlignment="1">
      <alignment horizontal="center"/>
    </xf>
    <xf numFmtId="3" fontId="4" fillId="3" borderId="18" xfId="0" quotePrefix="1" applyNumberFormat="1" applyFont="1" applyFill="1" applyBorder="1" applyAlignment="1">
      <alignment horizontal="center"/>
    </xf>
    <xf numFmtId="3" fontId="4" fillId="3" borderId="19" xfId="0" quotePrefix="1" applyNumberFormat="1" applyFont="1" applyFill="1" applyBorder="1" applyAlignment="1">
      <alignment horizontal="center"/>
    </xf>
    <xf numFmtId="1" fontId="4" fillId="4" borderId="20" xfId="0" applyNumberFormat="1" applyFont="1" applyFill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3" fontId="5" fillId="0" borderId="5" xfId="0" quotePrefix="1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8" fillId="5" borderId="0" xfId="0" applyNumberFormat="1" applyFont="1" applyFill="1" applyAlignment="1">
      <alignment horizontal="center"/>
    </xf>
    <xf numFmtId="1" fontId="7" fillId="0" borderId="0" xfId="0" applyNumberFormat="1" applyFont="1"/>
    <xf numFmtId="0" fontId="9" fillId="0" borderId="0" xfId="0" applyFont="1"/>
    <xf numFmtId="0" fontId="10" fillId="0" borderId="0" xfId="0" applyFont="1" applyAlignment="1">
      <alignment horizontal="center"/>
    </xf>
    <xf numFmtId="1" fontId="9" fillId="0" borderId="0" xfId="0" applyNumberFormat="1" applyFont="1"/>
    <xf numFmtId="0" fontId="11" fillId="0" borderId="0" xfId="0" applyFont="1"/>
    <xf numFmtId="3" fontId="10" fillId="0" borderId="0" xfId="0" applyNumberFormat="1" applyFont="1" applyAlignment="1">
      <alignment horizontal="center"/>
    </xf>
    <xf numFmtId="4" fontId="10" fillId="6" borderId="0" xfId="0" applyNumberFormat="1" applyFont="1" applyFill="1" applyAlignment="1">
      <alignment horizontal="center"/>
    </xf>
    <xf numFmtId="4" fontId="10" fillId="7" borderId="0" xfId="0" applyNumberFormat="1" applyFont="1" applyFill="1" applyAlignment="1">
      <alignment horizontal="center"/>
    </xf>
    <xf numFmtId="1" fontId="10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3" fontId="3" fillId="2" borderId="14" xfId="0" quotePrefix="1" applyNumberFormat="1" applyFont="1" applyFill="1" applyBorder="1" applyAlignment="1">
      <alignment horizontal="center"/>
    </xf>
    <xf numFmtId="3" fontId="3" fillId="2" borderId="9" xfId="0" quotePrefix="1" applyNumberFormat="1" applyFont="1" applyFill="1" applyBorder="1" applyAlignment="1">
      <alignment horizontal="center"/>
    </xf>
    <xf numFmtId="3" fontId="3" fillId="2" borderId="21" xfId="0" quotePrefix="1" applyNumberFormat="1" applyFont="1" applyFill="1" applyBorder="1" applyAlignment="1">
      <alignment horizontal="center"/>
    </xf>
    <xf numFmtId="3" fontId="3" fillId="3" borderId="14" xfId="0" quotePrefix="1" applyNumberFormat="1" applyFont="1" applyFill="1" applyBorder="1" applyAlignment="1">
      <alignment horizontal="center"/>
    </xf>
    <xf numFmtId="3" fontId="3" fillId="3" borderId="21" xfId="0" quotePrefix="1" applyNumberFormat="1" applyFont="1" applyFill="1" applyBorder="1" applyAlignment="1">
      <alignment horizontal="center"/>
    </xf>
    <xf numFmtId="3" fontId="3" fillId="3" borderId="9" xfId="0" quotePrefix="1" applyNumberFormat="1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3" fontId="3" fillId="3" borderId="6" xfId="0" quotePrefix="1" applyNumberFormat="1" applyFont="1" applyFill="1" applyBorder="1" applyAlignment="1">
      <alignment horizontal="center"/>
    </xf>
    <xf numFmtId="3" fontId="3" fillId="3" borderId="7" xfId="0" quotePrefix="1" applyNumberFormat="1" applyFont="1" applyFill="1" applyBorder="1" applyAlignment="1">
      <alignment horizontal="center"/>
    </xf>
    <xf numFmtId="3" fontId="3" fillId="3" borderId="11" xfId="0" quotePrefix="1" applyNumberFormat="1" applyFont="1" applyFill="1" applyBorder="1" applyAlignment="1">
      <alignment horizontal="center"/>
    </xf>
    <xf numFmtId="3" fontId="3" fillId="3" borderId="12" xfId="0" quotePrefix="1" applyNumberFormat="1" applyFont="1" applyFill="1" applyBorder="1" applyAlignment="1">
      <alignment horizontal="center"/>
    </xf>
    <xf numFmtId="3" fontId="3" fillId="3" borderId="18" xfId="0" quotePrefix="1" applyNumberFormat="1" applyFont="1" applyFill="1" applyBorder="1" applyAlignment="1">
      <alignment horizontal="center"/>
    </xf>
    <xf numFmtId="3" fontId="3" fillId="3" borderId="19" xfId="0" quotePrefix="1" applyNumberFormat="1" applyFont="1" applyFill="1" applyBorder="1" applyAlignment="1">
      <alignment horizontal="center"/>
    </xf>
    <xf numFmtId="1" fontId="4" fillId="3" borderId="20" xfId="0" applyNumberFormat="1" applyFont="1" applyFill="1" applyBorder="1" applyAlignment="1">
      <alignment horizontal="center"/>
    </xf>
    <xf numFmtId="1" fontId="4" fillId="2" borderId="20" xfId="0" applyNumberFormat="1" applyFont="1" applyFill="1" applyBorder="1" applyAlignment="1">
      <alignment horizontal="center"/>
    </xf>
    <xf numFmtId="3" fontId="7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center"/>
    </xf>
    <xf numFmtId="4" fontId="10" fillId="8" borderId="0" xfId="0" applyNumberFormat="1" applyFont="1" applyFill="1" applyAlignment="1">
      <alignment horizontal="center"/>
    </xf>
    <xf numFmtId="3" fontId="4" fillId="3" borderId="21" xfId="0" quotePrefix="1" applyNumberFormat="1" applyFont="1" applyFill="1" applyBorder="1" applyAlignment="1">
      <alignment horizontal="center"/>
    </xf>
    <xf numFmtId="0" fontId="2" fillId="0" borderId="0" xfId="0" applyFont="1"/>
    <xf numFmtId="3" fontId="4" fillId="3" borderId="4" xfId="0" applyNumberFormat="1" applyFont="1" applyFill="1" applyBorder="1" applyAlignment="1">
      <alignment horizontal="center"/>
    </xf>
    <xf numFmtId="3" fontId="4" fillId="3" borderId="6" xfId="0" quotePrefix="1" applyNumberFormat="1" applyFont="1" applyFill="1" applyBorder="1" applyAlignment="1">
      <alignment horizontal="center"/>
    </xf>
    <xf numFmtId="3" fontId="4" fillId="3" borderId="7" xfId="0" quotePrefix="1" applyNumberFormat="1" applyFont="1" applyFill="1" applyBorder="1" applyAlignment="1">
      <alignment horizontal="center"/>
    </xf>
    <xf numFmtId="1" fontId="4" fillId="3" borderId="8" xfId="0" applyNumberFormat="1" applyFont="1" applyFill="1" applyBorder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3" fontId="4" fillId="3" borderId="10" xfId="0" applyNumberFormat="1" applyFont="1" applyFill="1" applyBorder="1" applyAlignment="1">
      <alignment horizontal="center"/>
    </xf>
    <xf numFmtId="3" fontId="4" fillId="3" borderId="22" xfId="0" quotePrefix="1" applyNumberFormat="1" applyFont="1" applyFill="1" applyBorder="1" applyAlignment="1">
      <alignment horizontal="center"/>
    </xf>
    <xf numFmtId="3" fontId="4" fillId="3" borderId="15" xfId="0" quotePrefix="1" applyNumberFormat="1" applyFont="1" applyFill="1" applyBorder="1" applyAlignment="1">
      <alignment horizontal="center"/>
    </xf>
    <xf numFmtId="1" fontId="4" fillId="3" borderId="13" xfId="0" applyNumberFormat="1" applyFont="1" applyFill="1" applyBorder="1" applyAlignment="1">
      <alignment horizontal="center"/>
    </xf>
    <xf numFmtId="1" fontId="4" fillId="2" borderId="14" xfId="0" applyNumberFormat="1" applyFont="1" applyFill="1" applyBorder="1" applyAlignment="1">
      <alignment horizontal="center"/>
    </xf>
    <xf numFmtId="3" fontId="4" fillId="3" borderId="23" xfId="0" quotePrefix="1" applyNumberFormat="1" applyFont="1" applyFill="1" applyBorder="1" applyAlignment="1">
      <alignment horizontal="center"/>
    </xf>
    <xf numFmtId="0" fontId="12" fillId="3" borderId="0" xfId="0" applyFont="1" applyFill="1"/>
    <xf numFmtId="1" fontId="4" fillId="2" borderId="21" xfId="0" applyNumberFormat="1" applyFont="1" applyFill="1" applyBorder="1" applyAlignment="1">
      <alignment horizontal="center"/>
    </xf>
    <xf numFmtId="1" fontId="4" fillId="2" borderId="8" xfId="0" applyNumberFormat="1" applyFont="1" applyFill="1" applyBorder="1" applyAlignment="1">
      <alignment horizontal="center"/>
    </xf>
    <xf numFmtId="1" fontId="4" fillId="2" borderId="13" xfId="0" applyNumberFormat="1" applyFont="1" applyFill="1" applyBorder="1" applyAlignment="1">
      <alignment horizontal="center"/>
    </xf>
    <xf numFmtId="3" fontId="4" fillId="9" borderId="4" xfId="0" applyNumberFormat="1" applyFont="1" applyFill="1" applyBorder="1" applyAlignment="1">
      <alignment horizontal="center"/>
    </xf>
    <xf numFmtId="3" fontId="4" fillId="9" borderId="7" xfId="0" quotePrefix="1" applyNumberFormat="1" applyFont="1" applyFill="1" applyBorder="1" applyAlignment="1">
      <alignment horizontal="center"/>
    </xf>
    <xf numFmtId="1" fontId="4" fillId="9" borderId="8" xfId="0" applyNumberFormat="1" applyFont="1" applyFill="1" applyBorder="1" applyAlignment="1">
      <alignment horizontal="center"/>
    </xf>
    <xf numFmtId="3" fontId="4" fillId="9" borderId="10" xfId="0" applyNumberFormat="1" applyFont="1" applyFill="1" applyBorder="1" applyAlignment="1">
      <alignment horizontal="center"/>
    </xf>
    <xf numFmtId="3" fontId="4" fillId="9" borderId="15" xfId="0" quotePrefix="1" applyNumberFormat="1" applyFont="1" applyFill="1" applyBorder="1" applyAlignment="1">
      <alignment horizontal="center"/>
    </xf>
    <xf numFmtId="1" fontId="4" fillId="9" borderId="13" xfId="0" applyNumberFormat="1" applyFont="1" applyFill="1" applyBorder="1" applyAlignment="1">
      <alignment horizontal="center"/>
    </xf>
    <xf numFmtId="3" fontId="4" fillId="9" borderId="16" xfId="0" applyNumberFormat="1" applyFont="1" applyFill="1" applyBorder="1" applyAlignment="1">
      <alignment horizontal="center"/>
    </xf>
    <xf numFmtId="3" fontId="4" fillId="9" borderId="19" xfId="0" quotePrefix="1" applyNumberFormat="1" applyFont="1" applyFill="1" applyBorder="1" applyAlignment="1">
      <alignment horizontal="center"/>
    </xf>
    <xf numFmtId="1" fontId="13" fillId="2" borderId="8" xfId="0" applyNumberFormat="1" applyFont="1" applyFill="1" applyBorder="1" applyAlignment="1">
      <alignment horizontal="center"/>
    </xf>
    <xf numFmtId="1" fontId="13" fillId="2" borderId="13" xfId="0" applyNumberFormat="1" applyFont="1" applyFill="1" applyBorder="1" applyAlignment="1">
      <alignment horizontal="center"/>
    </xf>
    <xf numFmtId="1" fontId="4" fillId="9" borderId="20" xfId="0" applyNumberFormat="1" applyFont="1" applyFill="1" applyBorder="1" applyAlignment="1">
      <alignment horizontal="center"/>
    </xf>
    <xf numFmtId="1" fontId="13" fillId="2" borderId="20" xfId="0" applyNumberFormat="1" applyFont="1" applyFill="1" applyBorder="1" applyAlignment="1">
      <alignment horizontal="center"/>
    </xf>
    <xf numFmtId="1" fontId="13" fillId="2" borderId="9" xfId="0" applyNumberFormat="1" applyFont="1" applyFill="1" applyBorder="1" applyAlignment="1">
      <alignment horizontal="center"/>
    </xf>
    <xf numFmtId="1" fontId="13" fillId="2" borderId="14" xfId="0" applyNumberFormat="1" applyFont="1" applyFill="1" applyBorder="1" applyAlignment="1">
      <alignment horizontal="center"/>
    </xf>
    <xf numFmtId="1" fontId="13" fillId="2" borderId="21" xfId="0" applyNumberFormat="1" applyFont="1" applyFill="1" applyBorder="1" applyAlignment="1">
      <alignment horizontal="center"/>
    </xf>
    <xf numFmtId="1" fontId="4" fillId="9" borderId="9" xfId="0" applyNumberFormat="1" applyFont="1" applyFill="1" applyBorder="1" applyAlignment="1">
      <alignment horizontal="center"/>
    </xf>
    <xf numFmtId="1" fontId="4" fillId="9" borderId="14" xfId="0" applyNumberFormat="1" applyFont="1" applyFill="1" applyBorder="1" applyAlignment="1">
      <alignment horizontal="center"/>
    </xf>
    <xf numFmtId="1" fontId="4" fillId="9" borderId="21" xfId="0" applyNumberFormat="1" applyFont="1" applyFill="1" applyBorder="1" applyAlignment="1">
      <alignment horizontal="center"/>
    </xf>
    <xf numFmtId="1" fontId="14" fillId="9" borderId="13" xfId="0" applyNumberFormat="1" applyFont="1" applyFill="1" applyBorder="1" applyAlignment="1">
      <alignment horizontal="center"/>
    </xf>
    <xf numFmtId="3" fontId="15" fillId="9" borderId="16" xfId="0" applyNumberFormat="1" applyFont="1" applyFill="1" applyBorder="1" applyAlignment="1">
      <alignment horizontal="center"/>
    </xf>
    <xf numFmtId="3" fontId="15" fillId="9" borderId="19" xfId="0" quotePrefix="1" applyNumberFormat="1" applyFont="1" applyFill="1" applyBorder="1" applyAlignment="1">
      <alignment horizontal="center"/>
    </xf>
    <xf numFmtId="1" fontId="15" fillId="9" borderId="20" xfId="0" applyNumberFormat="1" applyFont="1" applyFill="1" applyBorder="1" applyAlignment="1">
      <alignment horizontal="center"/>
    </xf>
    <xf numFmtId="1" fontId="15" fillId="2" borderId="21" xfId="0" applyNumberFormat="1" applyFont="1" applyFill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0" xfId="0" quotePrefix="1" applyNumberFormat="1" applyFont="1" applyAlignment="1">
      <alignment horizontal="center"/>
    </xf>
    <xf numFmtId="1" fontId="4" fillId="0" borderId="13" xfId="0" applyNumberFormat="1" applyFont="1" applyBorder="1" applyAlignment="1">
      <alignment horizontal="center"/>
    </xf>
    <xf numFmtId="1" fontId="4" fillId="0" borderId="14" xfId="0" applyNumberFormat="1" applyFont="1" applyBorder="1" applyAlignment="1">
      <alignment horizontal="center"/>
    </xf>
    <xf numFmtId="3" fontId="4" fillId="0" borderId="16" xfId="0" applyNumberFormat="1" applyFont="1" applyBorder="1" applyAlignment="1">
      <alignment horizontal="center"/>
    </xf>
    <xf numFmtId="3" fontId="4" fillId="0" borderId="17" xfId="0" quotePrefix="1" applyNumberFormat="1" applyFont="1" applyBorder="1" applyAlignment="1">
      <alignment horizontal="center"/>
    </xf>
    <xf numFmtId="1" fontId="4" fillId="0" borderId="20" xfId="0" applyNumberFormat="1" applyFont="1" applyBorder="1" applyAlignment="1">
      <alignment horizontal="center"/>
    </xf>
    <xf numFmtId="1" fontId="4" fillId="0" borderId="21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3" fontId="4" fillId="0" borderId="4" xfId="0" applyNumberFormat="1" applyFont="1" applyBorder="1" applyAlignment="1">
      <alignment horizontal="center"/>
    </xf>
    <xf numFmtId="3" fontId="4" fillId="0" borderId="5" xfId="0" quotePrefix="1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1" fontId="16" fillId="0" borderId="0" xfId="0" applyNumberFormat="1" applyFont="1"/>
    <xf numFmtId="3" fontId="4" fillId="3" borderId="14" xfId="0" quotePrefix="1" applyNumberFormat="1" applyFont="1" applyFill="1" applyBorder="1" applyAlignment="1">
      <alignment horizontal="center"/>
    </xf>
    <xf numFmtId="3" fontId="4" fillId="3" borderId="9" xfId="0" quotePrefix="1" applyNumberFormat="1" applyFont="1" applyFill="1" applyBorder="1" applyAlignment="1">
      <alignment horizontal="center"/>
    </xf>
    <xf numFmtId="3" fontId="4" fillId="3" borderId="14" xfId="0" applyNumberFormat="1" applyFont="1" applyFill="1" applyBorder="1" applyAlignment="1">
      <alignment horizontal="center"/>
    </xf>
    <xf numFmtId="0" fontId="12" fillId="3" borderId="10" xfId="0" applyFont="1" applyFill="1" applyBorder="1"/>
    <xf numFmtId="3" fontId="4" fillId="9" borderId="9" xfId="0" quotePrefix="1" applyNumberFormat="1" applyFont="1" applyFill="1" applyBorder="1" applyAlignment="1">
      <alignment horizontal="center"/>
    </xf>
    <xf numFmtId="3" fontId="4" fillId="9" borderId="14" xfId="0" quotePrefix="1" applyNumberFormat="1" applyFont="1" applyFill="1" applyBorder="1" applyAlignment="1">
      <alignment horizontal="center"/>
    </xf>
    <xf numFmtId="0" fontId="12" fillId="9" borderId="10" xfId="0" applyFont="1" applyFill="1" applyBorder="1"/>
    <xf numFmtId="3" fontId="4" fillId="9" borderId="21" xfId="0" quotePrefix="1" applyNumberFormat="1" applyFont="1" applyFill="1" applyBorder="1" applyAlignment="1">
      <alignment horizontal="center"/>
    </xf>
    <xf numFmtId="3" fontId="15" fillId="9" borderId="21" xfId="0" quotePrefix="1" applyNumberFormat="1" applyFont="1" applyFill="1" applyBorder="1" applyAlignment="1">
      <alignment horizontal="center"/>
    </xf>
    <xf numFmtId="3" fontId="4" fillId="0" borderId="14" xfId="0" quotePrefix="1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3" fontId="5" fillId="0" borderId="16" xfId="0" applyNumberFormat="1" applyFont="1" applyBorder="1" applyAlignment="1">
      <alignment horizontal="center"/>
    </xf>
    <xf numFmtId="3" fontId="13" fillId="3" borderId="4" xfId="0" applyNumberFormat="1" applyFont="1" applyFill="1" applyBorder="1" applyAlignment="1">
      <alignment horizontal="center"/>
    </xf>
    <xf numFmtId="3" fontId="13" fillId="3" borderId="9" xfId="0" quotePrefix="1" applyNumberFormat="1" applyFont="1" applyFill="1" applyBorder="1" applyAlignment="1">
      <alignment horizontal="center"/>
    </xf>
    <xf numFmtId="3" fontId="13" fillId="3" borderId="8" xfId="0" quotePrefix="1" applyNumberFormat="1" applyFont="1" applyFill="1" applyBorder="1" applyAlignment="1">
      <alignment horizontal="center"/>
    </xf>
    <xf numFmtId="3" fontId="13" fillId="3" borderId="5" xfId="0" quotePrefix="1" applyNumberFormat="1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/>
    </xf>
    <xf numFmtId="1" fontId="13" fillId="3" borderId="8" xfId="0" applyNumberFormat="1" applyFont="1" applyFill="1" applyBorder="1" applyAlignment="1">
      <alignment horizontal="center"/>
    </xf>
    <xf numFmtId="1" fontId="13" fillId="3" borderId="9" xfId="0" applyNumberFormat="1" applyFont="1" applyFill="1" applyBorder="1" applyAlignment="1">
      <alignment horizontal="center"/>
    </xf>
    <xf numFmtId="3" fontId="13" fillId="3" borderId="10" xfId="0" applyNumberFormat="1" applyFont="1" applyFill="1" applyBorder="1" applyAlignment="1">
      <alignment horizontal="center"/>
    </xf>
    <xf numFmtId="3" fontId="13" fillId="3" borderId="14" xfId="0" quotePrefix="1" applyNumberFormat="1" applyFont="1" applyFill="1" applyBorder="1" applyAlignment="1">
      <alignment horizontal="center"/>
    </xf>
    <xf numFmtId="3" fontId="13" fillId="3" borderId="13" xfId="0" quotePrefix="1" applyNumberFormat="1" applyFont="1" applyFill="1" applyBorder="1" applyAlignment="1">
      <alignment horizontal="center"/>
    </xf>
    <xf numFmtId="3" fontId="13" fillId="3" borderId="0" xfId="0" quotePrefix="1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3" fillId="3" borderId="13" xfId="0" applyFont="1" applyFill="1" applyBorder="1" applyAlignment="1">
      <alignment horizontal="center"/>
    </xf>
    <xf numFmtId="1" fontId="13" fillId="3" borderId="13" xfId="0" applyNumberFormat="1" applyFont="1" applyFill="1" applyBorder="1" applyAlignment="1">
      <alignment horizontal="center"/>
    </xf>
    <xf numFmtId="1" fontId="13" fillId="3" borderId="14" xfId="0" applyNumberFormat="1" applyFont="1" applyFill="1" applyBorder="1" applyAlignment="1">
      <alignment horizontal="center"/>
    </xf>
    <xf numFmtId="3" fontId="13" fillId="3" borderId="16" xfId="0" applyNumberFormat="1" applyFont="1" applyFill="1" applyBorder="1" applyAlignment="1">
      <alignment horizontal="center"/>
    </xf>
    <xf numFmtId="3" fontId="13" fillId="3" borderId="21" xfId="0" quotePrefix="1" applyNumberFormat="1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  <xf numFmtId="3" fontId="13" fillId="3" borderId="4" xfId="0" quotePrefix="1" applyNumberFormat="1" applyFont="1" applyFill="1" applyBorder="1" applyAlignment="1">
      <alignment horizontal="center"/>
    </xf>
    <xf numFmtId="3" fontId="13" fillId="3" borderId="10" xfId="0" quotePrefix="1" applyNumberFormat="1" applyFont="1" applyFill="1" applyBorder="1" applyAlignment="1">
      <alignment horizontal="center"/>
    </xf>
    <xf numFmtId="3" fontId="13" fillId="3" borderId="17" xfId="0" quotePrefix="1" applyNumberFormat="1" applyFont="1" applyFill="1" applyBorder="1" applyAlignment="1">
      <alignment horizontal="center"/>
    </xf>
    <xf numFmtId="3" fontId="13" fillId="3" borderId="20" xfId="0" quotePrefix="1" applyNumberFormat="1" applyFont="1" applyFill="1" applyBorder="1" applyAlignment="1">
      <alignment horizontal="center"/>
    </xf>
    <xf numFmtId="3" fontId="13" fillId="3" borderId="16" xfId="0" quotePrefix="1" applyNumberFormat="1" applyFont="1" applyFill="1" applyBorder="1" applyAlignment="1">
      <alignment horizontal="center"/>
    </xf>
    <xf numFmtId="0" fontId="13" fillId="3" borderId="17" xfId="0" applyFont="1" applyFill="1" applyBorder="1" applyAlignment="1">
      <alignment horizontal="center"/>
    </xf>
    <xf numFmtId="1" fontId="13" fillId="3" borderId="20" xfId="0" applyNumberFormat="1" applyFont="1" applyFill="1" applyBorder="1" applyAlignment="1">
      <alignment horizontal="center"/>
    </xf>
    <xf numFmtId="1" fontId="13" fillId="3" borderId="21" xfId="0" applyNumberFormat="1" applyFont="1" applyFill="1" applyBorder="1" applyAlignment="1">
      <alignment horizontal="center"/>
    </xf>
    <xf numFmtId="3" fontId="13" fillId="3" borderId="13" xfId="0" applyNumberFormat="1" applyFont="1" applyFill="1" applyBorder="1" applyAlignment="1">
      <alignment horizontal="center"/>
    </xf>
    <xf numFmtId="3" fontId="13" fillId="3" borderId="20" xfId="0" applyNumberFormat="1" applyFont="1" applyFill="1" applyBorder="1" applyAlignment="1">
      <alignment horizontal="center"/>
    </xf>
    <xf numFmtId="3" fontId="13" fillId="3" borderId="8" xfId="0" applyNumberFormat="1" applyFont="1" applyFill="1" applyBorder="1" applyAlignment="1">
      <alignment horizontal="center"/>
    </xf>
    <xf numFmtId="3" fontId="5" fillId="0" borderId="10" xfId="0" applyNumberFormat="1" applyFont="1" applyBorder="1" applyAlignment="1">
      <alignment horizontal="center"/>
    </xf>
    <xf numFmtId="3" fontId="5" fillId="0" borderId="0" xfId="0" quotePrefix="1" applyNumberFormat="1" applyFont="1" applyAlignment="1">
      <alignment horizontal="center"/>
    </xf>
    <xf numFmtId="3" fontId="5" fillId="0" borderId="13" xfId="0" quotePrefix="1" applyNumberFormat="1" applyFont="1" applyBorder="1" applyAlignment="1">
      <alignment horizontal="center"/>
    </xf>
    <xf numFmtId="3" fontId="5" fillId="0" borderId="14" xfId="0" quotePrefix="1" applyNumberFormat="1" applyFont="1" applyBorder="1" applyAlignment="1">
      <alignment horizontal="center"/>
    </xf>
    <xf numFmtId="3" fontId="5" fillId="0" borderId="13" xfId="0" applyNumberFormat="1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3" fontId="4" fillId="0" borderId="13" xfId="0" quotePrefix="1" applyNumberFormat="1" applyFont="1" applyBorder="1" applyAlignment="1">
      <alignment horizontal="center"/>
    </xf>
    <xf numFmtId="3" fontId="4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3" fontId="4" fillId="0" borderId="20" xfId="0" quotePrefix="1" applyNumberFormat="1" applyFont="1" applyBorder="1" applyAlignment="1">
      <alignment horizontal="center"/>
    </xf>
    <xf numFmtId="3" fontId="4" fillId="0" borderId="21" xfId="0" quotePrefix="1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3" fontId="4" fillId="0" borderId="9" xfId="0" quotePrefix="1" applyNumberFormat="1" applyFont="1" applyBorder="1" applyAlignment="1">
      <alignment horizontal="center"/>
    </xf>
    <xf numFmtId="3" fontId="4" fillId="0" borderId="8" xfId="0" quotePrefix="1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3" fontId="17" fillId="0" borderId="10" xfId="0" applyNumberFormat="1" applyFont="1" applyBorder="1" applyAlignment="1">
      <alignment horizontal="center"/>
    </xf>
    <xf numFmtId="3" fontId="17" fillId="0" borderId="0" xfId="0" quotePrefix="1" applyNumberFormat="1" applyFont="1" applyAlignment="1">
      <alignment horizontal="center"/>
    </xf>
    <xf numFmtId="3" fontId="17" fillId="0" borderId="13" xfId="0" quotePrefix="1" applyNumberFormat="1" applyFont="1" applyBorder="1" applyAlignment="1">
      <alignment horizontal="center"/>
    </xf>
    <xf numFmtId="3" fontId="17" fillId="0" borderId="14" xfId="0" quotePrefix="1" applyNumberFormat="1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1" fontId="17" fillId="0" borderId="13" xfId="0" applyNumberFormat="1" applyFont="1" applyBorder="1" applyAlignment="1">
      <alignment horizontal="center"/>
    </xf>
    <xf numFmtId="1" fontId="17" fillId="0" borderId="14" xfId="0" applyNumberFormat="1" applyFont="1" applyBorder="1" applyAlignment="1">
      <alignment horizontal="center"/>
    </xf>
    <xf numFmtId="3" fontId="17" fillId="0" borderId="16" xfId="0" applyNumberFormat="1" applyFont="1" applyBorder="1" applyAlignment="1">
      <alignment horizontal="center"/>
    </xf>
    <xf numFmtId="3" fontId="17" fillId="0" borderId="17" xfId="0" quotePrefix="1" applyNumberFormat="1" applyFont="1" applyBorder="1" applyAlignment="1">
      <alignment horizontal="center"/>
    </xf>
    <xf numFmtId="3" fontId="17" fillId="0" borderId="20" xfId="0" quotePrefix="1" applyNumberFormat="1" applyFont="1" applyBorder="1" applyAlignment="1">
      <alignment horizontal="center"/>
    </xf>
    <xf numFmtId="3" fontId="17" fillId="0" borderId="21" xfId="0" quotePrefix="1" applyNumberFormat="1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1" fontId="17" fillId="0" borderId="20" xfId="0" applyNumberFormat="1" applyFont="1" applyBorder="1" applyAlignment="1">
      <alignment horizontal="center"/>
    </xf>
    <xf numFmtId="1" fontId="17" fillId="0" borderId="21" xfId="0" applyNumberFormat="1" applyFont="1" applyBorder="1" applyAlignment="1">
      <alignment horizontal="center"/>
    </xf>
    <xf numFmtId="3" fontId="17" fillId="0" borderId="8" xfId="0" quotePrefix="1" applyNumberFormat="1" applyFont="1" applyBorder="1" applyAlignment="1">
      <alignment horizontal="center"/>
    </xf>
    <xf numFmtId="3" fontId="17" fillId="0" borderId="9" xfId="0" quotePrefix="1" applyNumberFormat="1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1" fontId="17" fillId="0" borderId="8" xfId="0" applyNumberFormat="1" applyFont="1" applyBorder="1" applyAlignment="1">
      <alignment horizontal="center"/>
    </xf>
    <xf numFmtId="1" fontId="17" fillId="0" borderId="9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1" fontId="17" fillId="0" borderId="3" xfId="0" applyNumberFormat="1" applyFont="1" applyBorder="1" applyAlignment="1">
      <alignment horizontal="center"/>
    </xf>
    <xf numFmtId="3" fontId="16" fillId="0" borderId="0" xfId="0" applyNumberFormat="1" applyFont="1" applyAlignment="1">
      <alignment horizontal="center"/>
    </xf>
    <xf numFmtId="3" fontId="13" fillId="3" borderId="0" xfId="0" applyNumberFormat="1" applyFont="1" applyFill="1" applyAlignment="1">
      <alignment horizontal="center"/>
    </xf>
    <xf numFmtId="0" fontId="18" fillId="3" borderId="10" xfId="0" applyFont="1" applyFill="1" applyBorder="1"/>
    <xf numFmtId="0" fontId="12" fillId="0" borderId="10" xfId="0" applyFont="1" applyBorder="1"/>
    <xf numFmtId="0" fontId="19" fillId="0" borderId="10" xfId="0" applyFont="1" applyBorder="1"/>
    <xf numFmtId="3" fontId="20" fillId="0" borderId="0" xfId="0" applyNumberFormat="1" applyFont="1" applyAlignment="1">
      <alignment horizontal="center"/>
    </xf>
    <xf numFmtId="3" fontId="20" fillId="0" borderId="0" xfId="0" quotePrefix="1" applyNumberFormat="1" applyFont="1" applyAlignment="1">
      <alignment horizontal="center"/>
    </xf>
    <xf numFmtId="3" fontId="20" fillId="0" borderId="8" xfId="0" quotePrefix="1" applyNumberFormat="1" applyFont="1" applyBorder="1" applyAlignment="1">
      <alignment horizontal="center"/>
    </xf>
    <xf numFmtId="3" fontId="20" fillId="0" borderId="5" xfId="0" quotePrefix="1" applyNumberFormat="1" applyFont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1" fontId="20" fillId="0" borderId="9" xfId="0" applyNumberFormat="1" applyFont="1" applyBorder="1" applyAlignment="1">
      <alignment horizontal="center"/>
    </xf>
    <xf numFmtId="3" fontId="20" fillId="0" borderId="13" xfId="0" quotePrefix="1" applyNumberFormat="1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1" fontId="20" fillId="0" borderId="14" xfId="0" applyNumberFormat="1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3" fontId="20" fillId="0" borderId="4" xfId="0" quotePrefix="1" applyNumberFormat="1" applyFont="1" applyBorder="1" applyAlignment="1">
      <alignment horizontal="center"/>
    </xf>
    <xf numFmtId="3" fontId="20" fillId="0" borderId="10" xfId="0" quotePrefix="1" applyNumberFormat="1" applyFont="1" applyBorder="1" applyAlignment="1">
      <alignment horizontal="center"/>
    </xf>
    <xf numFmtId="3" fontId="20" fillId="0" borderId="20" xfId="0" quotePrefix="1" applyNumberFormat="1" applyFont="1" applyBorder="1" applyAlignment="1">
      <alignment horizontal="center"/>
    </xf>
    <xf numFmtId="3" fontId="20" fillId="0" borderId="16" xfId="0" quotePrefix="1" applyNumberFormat="1" applyFont="1" applyBorder="1" applyAlignment="1">
      <alignment horizontal="center"/>
    </xf>
    <xf numFmtId="3" fontId="20" fillId="0" borderId="17" xfId="0" quotePrefix="1" applyNumberFormat="1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1" fontId="20" fillId="0" borderId="21" xfId="0" applyNumberFormat="1" applyFont="1" applyBorder="1" applyAlignment="1">
      <alignment horizontal="center"/>
    </xf>
    <xf numFmtId="1" fontId="20" fillId="0" borderId="8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1" fontId="20" fillId="0" borderId="20" xfId="0" applyNumberFormat="1" applyFont="1" applyBorder="1" applyAlignment="1">
      <alignment horizontal="center"/>
    </xf>
    <xf numFmtId="3" fontId="20" fillId="0" borderId="13" xfId="0" applyNumberFormat="1" applyFont="1" applyBorder="1" applyAlignment="1">
      <alignment horizontal="center"/>
    </xf>
    <xf numFmtId="3" fontId="20" fillId="0" borderId="10" xfId="0" applyNumberFormat="1" applyFont="1" applyBorder="1" applyAlignment="1">
      <alignment horizontal="center"/>
    </xf>
    <xf numFmtId="3" fontId="20" fillId="0" borderId="14" xfId="0" quotePrefix="1" applyNumberFormat="1" applyFont="1" applyBorder="1" applyAlignment="1">
      <alignment horizontal="center"/>
    </xf>
    <xf numFmtId="3" fontId="20" fillId="0" borderId="4" xfId="0" applyNumberFormat="1" applyFont="1" applyBorder="1" applyAlignment="1">
      <alignment horizontal="center"/>
    </xf>
    <xf numFmtId="3" fontId="20" fillId="0" borderId="9" xfId="0" quotePrefix="1" applyNumberFormat="1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3" fontId="20" fillId="0" borderId="21" xfId="0" quotePrefix="1" applyNumberFormat="1" applyFont="1" applyBorder="1" applyAlignment="1">
      <alignment horizontal="center"/>
    </xf>
    <xf numFmtId="3" fontId="20" fillId="0" borderId="20" xfId="0" applyNumberFormat="1" applyFont="1" applyBorder="1" applyAlignment="1">
      <alignment horizontal="center"/>
    </xf>
    <xf numFmtId="3" fontId="21" fillId="0" borderId="16" xfId="0" applyNumberFormat="1" applyFont="1" applyBorder="1" applyAlignment="1">
      <alignment horizontal="center"/>
    </xf>
    <xf numFmtId="3" fontId="21" fillId="0" borderId="17" xfId="0" quotePrefix="1" applyNumberFormat="1" applyFont="1" applyBorder="1" applyAlignment="1">
      <alignment horizontal="center"/>
    </xf>
    <xf numFmtId="3" fontId="21" fillId="0" borderId="20" xfId="0" quotePrefix="1" applyNumberFormat="1" applyFont="1" applyBorder="1" applyAlignment="1">
      <alignment horizontal="center"/>
    </xf>
    <xf numFmtId="3" fontId="21" fillId="0" borderId="21" xfId="0" quotePrefix="1" applyNumberFormat="1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3" fontId="21" fillId="0" borderId="20" xfId="0" applyNumberFormat="1" applyFont="1" applyBorder="1" applyAlignment="1">
      <alignment horizontal="center"/>
    </xf>
    <xf numFmtId="1" fontId="21" fillId="0" borderId="21" xfId="0" applyNumberFormat="1" applyFont="1" applyBorder="1" applyAlignment="1">
      <alignment horizontal="center"/>
    </xf>
    <xf numFmtId="3" fontId="21" fillId="0" borderId="4" xfId="0" applyNumberFormat="1" applyFont="1" applyBorder="1" applyAlignment="1">
      <alignment horizontal="center"/>
    </xf>
    <xf numFmtId="3" fontId="21" fillId="0" borderId="5" xfId="0" quotePrefix="1" applyNumberFormat="1" applyFont="1" applyBorder="1" applyAlignment="1">
      <alignment horizontal="center"/>
    </xf>
    <xf numFmtId="3" fontId="21" fillId="0" borderId="8" xfId="0" quotePrefix="1" applyNumberFormat="1" applyFont="1" applyBorder="1" applyAlignment="1">
      <alignment horizontal="center"/>
    </xf>
    <xf numFmtId="3" fontId="21" fillId="0" borderId="9" xfId="0" quotePrefix="1" applyNumberFormat="1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3" fontId="21" fillId="0" borderId="8" xfId="0" applyNumberFormat="1" applyFont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3" fontId="21" fillId="0" borderId="10" xfId="0" applyNumberFormat="1" applyFont="1" applyBorder="1" applyAlignment="1">
      <alignment horizontal="center"/>
    </xf>
    <xf numFmtId="3" fontId="21" fillId="0" borderId="0" xfId="0" quotePrefix="1" applyNumberFormat="1" applyFont="1" applyAlignment="1">
      <alignment horizontal="center"/>
    </xf>
    <xf numFmtId="3" fontId="21" fillId="0" borderId="13" xfId="0" quotePrefix="1" applyNumberFormat="1" applyFont="1" applyBorder="1" applyAlignment="1">
      <alignment horizontal="center"/>
    </xf>
    <xf numFmtId="3" fontId="21" fillId="0" borderId="14" xfId="0" quotePrefix="1" applyNumberFormat="1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3" fontId="21" fillId="0" borderId="13" xfId="0" applyNumberFormat="1" applyFont="1" applyBorder="1" applyAlignment="1">
      <alignment horizontal="center"/>
    </xf>
    <xf numFmtId="1" fontId="21" fillId="0" borderId="14" xfId="0" applyNumberFormat="1" applyFont="1" applyBorder="1" applyAlignment="1">
      <alignment horizontal="center"/>
    </xf>
    <xf numFmtId="3" fontId="4" fillId="0" borderId="20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2" fillId="0" borderId="10" xfId="0" applyFont="1" applyBorder="1"/>
    <xf numFmtId="0" fontId="23" fillId="0" borderId="10" xfId="0" applyFont="1" applyBorder="1"/>
    <xf numFmtId="3" fontId="24" fillId="0" borderId="0" xfId="0" applyNumberFormat="1" applyFont="1" applyAlignment="1">
      <alignment horizontal="center"/>
    </xf>
    <xf numFmtId="3" fontId="24" fillId="0" borderId="0" xfId="0" quotePrefix="1" applyNumberFormat="1" applyFont="1" applyAlignment="1">
      <alignment horizontal="center"/>
    </xf>
    <xf numFmtId="3" fontId="24" fillId="0" borderId="8" xfId="0" quotePrefix="1" applyNumberFormat="1" applyFont="1" applyBorder="1" applyAlignment="1">
      <alignment horizontal="center"/>
    </xf>
    <xf numFmtId="3" fontId="24" fillId="0" borderId="5" xfId="0" quotePrefix="1" applyNumberFormat="1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1" fontId="24" fillId="0" borderId="9" xfId="0" applyNumberFormat="1" applyFont="1" applyBorder="1" applyAlignment="1">
      <alignment horizontal="center"/>
    </xf>
    <xf numFmtId="3" fontId="24" fillId="0" borderId="13" xfId="0" quotePrefix="1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3" xfId="0" applyFont="1" applyBorder="1" applyAlignment="1">
      <alignment horizontal="center"/>
    </xf>
    <xf numFmtId="1" fontId="24" fillId="0" borderId="14" xfId="0" applyNumberFormat="1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3" fontId="24" fillId="0" borderId="4" xfId="0" quotePrefix="1" applyNumberFormat="1" applyFont="1" applyBorder="1" applyAlignment="1">
      <alignment horizontal="center"/>
    </xf>
    <xf numFmtId="3" fontId="24" fillId="0" borderId="10" xfId="0" quotePrefix="1" applyNumberFormat="1" applyFont="1" applyBorder="1" applyAlignment="1">
      <alignment horizontal="center"/>
    </xf>
    <xf numFmtId="3" fontId="24" fillId="0" borderId="20" xfId="0" quotePrefix="1" applyNumberFormat="1" applyFont="1" applyBorder="1" applyAlignment="1">
      <alignment horizontal="center"/>
    </xf>
    <xf numFmtId="3" fontId="24" fillId="0" borderId="16" xfId="0" quotePrefix="1" applyNumberFormat="1" applyFont="1" applyBorder="1" applyAlignment="1">
      <alignment horizontal="center"/>
    </xf>
    <xf numFmtId="3" fontId="24" fillId="0" borderId="17" xfId="0" quotePrefix="1" applyNumberFormat="1" applyFont="1" applyBorder="1" applyAlignment="1">
      <alignment horizontal="center"/>
    </xf>
    <xf numFmtId="0" fontId="24" fillId="0" borderId="17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1" fontId="24" fillId="0" borderId="21" xfId="0" applyNumberFormat="1" applyFont="1" applyBorder="1" applyAlignment="1">
      <alignment horizontal="center"/>
    </xf>
    <xf numFmtId="1" fontId="24" fillId="0" borderId="8" xfId="0" applyNumberFormat="1" applyFont="1" applyBorder="1" applyAlignment="1">
      <alignment horizontal="center"/>
    </xf>
    <xf numFmtId="1" fontId="24" fillId="0" borderId="13" xfId="0" applyNumberFormat="1" applyFont="1" applyBorder="1" applyAlignment="1">
      <alignment horizontal="center"/>
    </xf>
    <xf numFmtId="1" fontId="24" fillId="0" borderId="20" xfId="0" applyNumberFormat="1" applyFont="1" applyBorder="1" applyAlignment="1">
      <alignment horizontal="center"/>
    </xf>
    <xf numFmtId="3" fontId="24" fillId="0" borderId="13" xfId="0" applyNumberFormat="1" applyFont="1" applyBorder="1" applyAlignment="1">
      <alignment horizontal="center"/>
    </xf>
    <xf numFmtId="3" fontId="24" fillId="0" borderId="10" xfId="0" applyNumberFormat="1" applyFont="1" applyBorder="1" applyAlignment="1">
      <alignment horizontal="center"/>
    </xf>
    <xf numFmtId="3" fontId="24" fillId="0" borderId="14" xfId="0" quotePrefix="1" applyNumberFormat="1" applyFont="1" applyBorder="1" applyAlignment="1">
      <alignment horizontal="center"/>
    </xf>
    <xf numFmtId="3" fontId="24" fillId="0" borderId="4" xfId="0" applyNumberFormat="1" applyFont="1" applyBorder="1" applyAlignment="1">
      <alignment horizontal="center"/>
    </xf>
    <xf numFmtId="3" fontId="24" fillId="0" borderId="9" xfId="0" quotePrefix="1" applyNumberFormat="1" applyFont="1" applyBorder="1" applyAlignment="1">
      <alignment horizontal="center"/>
    </xf>
    <xf numFmtId="3" fontId="15" fillId="0" borderId="10" xfId="0" applyNumberFormat="1" applyFont="1" applyBorder="1" applyAlignment="1">
      <alignment horizontal="center"/>
    </xf>
    <xf numFmtId="3" fontId="15" fillId="0" borderId="0" xfId="0" quotePrefix="1" applyNumberFormat="1" applyFont="1" applyAlignment="1">
      <alignment horizontal="center"/>
    </xf>
    <xf numFmtId="3" fontId="15" fillId="0" borderId="13" xfId="0" quotePrefix="1" applyNumberFormat="1" applyFont="1" applyBorder="1" applyAlignment="1">
      <alignment horizontal="center"/>
    </xf>
    <xf numFmtId="3" fontId="15" fillId="0" borderId="14" xfId="0" quotePrefix="1" applyNumberFormat="1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3" fontId="15" fillId="0" borderId="13" xfId="0" applyNumberFormat="1" applyFont="1" applyBorder="1" applyAlignment="1">
      <alignment horizontal="center"/>
    </xf>
    <xf numFmtId="1" fontId="15" fillId="0" borderId="14" xfId="0" applyNumberFormat="1" applyFont="1" applyBorder="1" applyAlignment="1">
      <alignment horizontal="center"/>
    </xf>
    <xf numFmtId="3" fontId="15" fillId="0" borderId="16" xfId="0" applyNumberFormat="1" applyFont="1" applyBorder="1" applyAlignment="1">
      <alignment horizontal="center"/>
    </xf>
    <xf numFmtId="3" fontId="15" fillId="0" borderId="17" xfId="0" quotePrefix="1" applyNumberFormat="1" applyFont="1" applyBorder="1" applyAlignment="1">
      <alignment horizontal="center"/>
    </xf>
    <xf numFmtId="3" fontId="15" fillId="0" borderId="4" xfId="0" applyNumberFormat="1" applyFont="1" applyBorder="1" applyAlignment="1">
      <alignment horizontal="center"/>
    </xf>
    <xf numFmtId="3" fontId="15" fillId="0" borderId="5" xfId="0" quotePrefix="1" applyNumberFormat="1" applyFont="1" applyBorder="1" applyAlignment="1">
      <alignment horizontal="center"/>
    </xf>
    <xf numFmtId="3" fontId="15" fillId="0" borderId="8" xfId="0" quotePrefix="1" applyNumberFormat="1" applyFont="1" applyBorder="1" applyAlignment="1">
      <alignment horizontal="center"/>
    </xf>
    <xf numFmtId="3" fontId="15" fillId="0" borderId="9" xfId="0" quotePrefix="1" applyNumberFormat="1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3" fontId="15" fillId="0" borderId="8" xfId="0" applyNumberFormat="1" applyFont="1" applyBorder="1" applyAlignment="1">
      <alignment horizontal="center"/>
    </xf>
    <xf numFmtId="1" fontId="15" fillId="0" borderId="8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3" fontId="15" fillId="0" borderId="20" xfId="0" quotePrefix="1" applyNumberFormat="1" applyFont="1" applyBorder="1" applyAlignment="1">
      <alignment horizontal="center"/>
    </xf>
    <xf numFmtId="3" fontId="15" fillId="0" borderId="21" xfId="0" quotePrefix="1" applyNumberFormat="1" applyFont="1" applyBorder="1" applyAlignment="1">
      <alignment horizontal="center"/>
    </xf>
    <xf numFmtId="3" fontId="15" fillId="0" borderId="20" xfId="0" applyNumberFormat="1" applyFont="1" applyBorder="1" applyAlignment="1">
      <alignment horizontal="center"/>
    </xf>
    <xf numFmtId="1" fontId="15" fillId="0" borderId="20" xfId="0" applyNumberFormat="1" applyFont="1" applyBorder="1" applyAlignment="1">
      <alignment horizontal="center"/>
    </xf>
    <xf numFmtId="1" fontId="15" fillId="0" borderId="9" xfId="0" applyNumberFormat="1" applyFont="1" applyBorder="1" applyAlignment="1">
      <alignment horizontal="center"/>
    </xf>
    <xf numFmtId="3" fontId="24" fillId="0" borderId="16" xfId="0" applyNumberFormat="1" applyFont="1" applyBorder="1" applyAlignment="1">
      <alignment horizontal="center"/>
    </xf>
    <xf numFmtId="0" fontId="25" fillId="0" borderId="10" xfId="0" applyFont="1" applyBorder="1"/>
    <xf numFmtId="0" fontId="26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F4889-4085-42F6-B0E4-F534BC090248}">
  <dimension ref="B2:U130"/>
  <sheetViews>
    <sheetView workbookViewId="0">
      <selection activeCell="B2" sqref="B2"/>
    </sheetView>
  </sheetViews>
  <sheetFormatPr defaultRowHeight="14.4"/>
  <sheetData>
    <row r="2" spans="2:21" ht="16.2" thickBo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  <c r="S2" s="3"/>
      <c r="T2" s="4"/>
      <c r="U2" s="4"/>
    </row>
    <row r="3" spans="2:21" ht="16.2" thickBot="1">
      <c r="B3" s="5" t="s">
        <v>1</v>
      </c>
      <c r="C3" s="6">
        <v>2025</v>
      </c>
      <c r="D3" s="7">
        <v>7</v>
      </c>
      <c r="E3" s="8">
        <v>8</v>
      </c>
      <c r="F3" s="8">
        <v>9</v>
      </c>
      <c r="G3" s="8">
        <v>10</v>
      </c>
      <c r="H3" s="8">
        <v>11</v>
      </c>
      <c r="I3" s="8">
        <v>12</v>
      </c>
      <c r="J3" s="8">
        <v>13</v>
      </c>
      <c r="K3" s="8">
        <v>14</v>
      </c>
      <c r="L3" s="8">
        <v>15</v>
      </c>
      <c r="M3" s="8">
        <v>16</v>
      </c>
      <c r="N3" s="8">
        <v>17</v>
      </c>
      <c r="O3" s="8">
        <v>18</v>
      </c>
      <c r="P3" s="8">
        <v>19</v>
      </c>
      <c r="Q3" s="8">
        <v>22</v>
      </c>
      <c r="R3" s="8">
        <v>23</v>
      </c>
      <c r="S3" s="8">
        <v>34</v>
      </c>
      <c r="T3" s="9" t="s">
        <v>2</v>
      </c>
      <c r="U3" s="9" t="s">
        <v>3</v>
      </c>
    </row>
    <row r="4" spans="2:21" ht="15.6">
      <c r="B4" s="15"/>
      <c r="C4" s="58" t="s">
        <v>7</v>
      </c>
      <c r="D4" s="11"/>
      <c r="E4" s="12"/>
      <c r="F4" s="12"/>
      <c r="G4" s="12"/>
      <c r="H4" s="12"/>
      <c r="I4" s="12"/>
      <c r="J4" s="12"/>
      <c r="K4" s="12">
        <v>1.5</v>
      </c>
      <c r="L4" s="12"/>
      <c r="M4" s="12">
        <v>13</v>
      </c>
      <c r="N4" s="12"/>
      <c r="O4" s="12"/>
      <c r="P4" s="12"/>
      <c r="Q4" s="12"/>
      <c r="R4" s="12"/>
      <c r="S4" s="12"/>
      <c r="T4" s="13">
        <f>SUM(D4:S4)</f>
        <v>14.5</v>
      </c>
      <c r="U4" s="14">
        <f>+T4</f>
        <v>14.5</v>
      </c>
    </row>
    <row r="5" spans="2:21" ht="15.6">
      <c r="B5" s="15"/>
      <c r="C5" s="58" t="s">
        <v>8</v>
      </c>
      <c r="D5" s="1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>
        <f t="shared" ref="T5:T68" si="0">SUM(D5:S5)</f>
        <v>0</v>
      </c>
      <c r="U5" s="19">
        <f>+U4+T5</f>
        <v>14.5</v>
      </c>
    </row>
    <row r="6" spans="2:21" ht="15.6">
      <c r="B6" s="15"/>
      <c r="C6" s="58" t="s">
        <v>9</v>
      </c>
      <c r="D6" s="16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8">
        <f t="shared" si="0"/>
        <v>0</v>
      </c>
      <c r="U6" s="19">
        <f t="shared" ref="U6:U69" si="1">+U5+T6</f>
        <v>14.5</v>
      </c>
    </row>
    <row r="7" spans="2:21" ht="16.2" thickBot="1">
      <c r="B7" s="15"/>
      <c r="C7" s="58" t="s">
        <v>10</v>
      </c>
      <c r="D7" s="16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8">
        <f t="shared" si="0"/>
        <v>0</v>
      </c>
      <c r="U7" s="19">
        <f t="shared" si="1"/>
        <v>14.5</v>
      </c>
    </row>
    <row r="8" spans="2:21" ht="15.6">
      <c r="B8" s="10"/>
      <c r="C8" s="59" t="s">
        <v>11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3">
        <f t="shared" si="0"/>
        <v>0</v>
      </c>
      <c r="U8" s="13">
        <f t="shared" si="1"/>
        <v>14.5</v>
      </c>
    </row>
    <row r="9" spans="2:21" ht="15.6">
      <c r="B9" s="15"/>
      <c r="C9" s="58" t="s">
        <v>12</v>
      </c>
      <c r="D9" s="20"/>
      <c r="E9" s="20"/>
      <c r="F9" s="20"/>
      <c r="G9" s="20"/>
      <c r="H9" s="20"/>
      <c r="I9" s="20"/>
      <c r="J9" s="20"/>
      <c r="K9" s="20">
        <v>25</v>
      </c>
      <c r="L9" s="20"/>
      <c r="M9" s="20">
        <v>7</v>
      </c>
      <c r="N9" s="20"/>
      <c r="O9" s="20"/>
      <c r="P9" s="20"/>
      <c r="Q9" s="20"/>
      <c r="R9" s="20"/>
      <c r="S9" s="20"/>
      <c r="T9" s="18">
        <f t="shared" si="0"/>
        <v>32</v>
      </c>
      <c r="U9" s="18">
        <f t="shared" si="1"/>
        <v>46.5</v>
      </c>
    </row>
    <row r="10" spans="2:21" ht="15.6">
      <c r="B10" s="15"/>
      <c r="C10" s="58" t="s">
        <v>13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8">
        <f t="shared" si="0"/>
        <v>0</v>
      </c>
      <c r="U10" s="18">
        <f t="shared" si="1"/>
        <v>46.5</v>
      </c>
    </row>
    <row r="11" spans="2:21" ht="15.6">
      <c r="B11" s="15"/>
      <c r="C11" s="58" t="s">
        <v>14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18">
        <f t="shared" si="0"/>
        <v>0</v>
      </c>
      <c r="U11" s="18">
        <f t="shared" si="1"/>
        <v>46.5</v>
      </c>
    </row>
    <row r="12" spans="2:21" ht="15.6">
      <c r="B12" s="15"/>
      <c r="C12" s="58" t="s">
        <v>15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18">
        <f t="shared" si="0"/>
        <v>0</v>
      </c>
      <c r="U12" s="18">
        <f t="shared" si="1"/>
        <v>46.5</v>
      </c>
    </row>
    <row r="13" spans="2:21" ht="15.6">
      <c r="B13" s="15"/>
      <c r="C13" s="58" t="s">
        <v>16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18">
        <f t="shared" si="0"/>
        <v>0</v>
      </c>
      <c r="U13" s="18">
        <f t="shared" si="1"/>
        <v>46.5</v>
      </c>
    </row>
    <row r="14" spans="2:21" ht="16.2" thickBot="1">
      <c r="B14" s="21"/>
      <c r="C14" s="60" t="s">
        <v>17</v>
      </c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4">
        <f t="shared" si="0"/>
        <v>0</v>
      </c>
      <c r="U14" s="24">
        <f t="shared" si="1"/>
        <v>46.5</v>
      </c>
    </row>
    <row r="15" spans="2:21" ht="15.6">
      <c r="B15" s="10"/>
      <c r="C15" s="59" t="s">
        <v>18</v>
      </c>
      <c r="D15" s="12"/>
      <c r="E15" s="12"/>
      <c r="F15" s="12"/>
      <c r="G15" s="12"/>
      <c r="H15" s="12"/>
      <c r="I15" s="12"/>
      <c r="J15" s="12"/>
      <c r="K15" s="12">
        <v>20</v>
      </c>
      <c r="L15" s="12"/>
      <c r="M15" s="12">
        <v>7</v>
      </c>
      <c r="N15" s="12"/>
      <c r="O15" s="12"/>
      <c r="P15" s="12"/>
      <c r="Q15" s="12"/>
      <c r="R15" s="12"/>
      <c r="S15" s="12"/>
      <c r="T15" s="13">
        <f t="shared" si="0"/>
        <v>27</v>
      </c>
      <c r="U15" s="13">
        <f t="shared" si="1"/>
        <v>73.5</v>
      </c>
    </row>
    <row r="16" spans="2:21" ht="15.6">
      <c r="B16" s="15"/>
      <c r="C16" s="58" t="s">
        <v>19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18">
        <f t="shared" si="0"/>
        <v>0</v>
      </c>
      <c r="U16" s="18">
        <f t="shared" si="1"/>
        <v>73.5</v>
      </c>
    </row>
    <row r="17" spans="2:21" ht="15.6">
      <c r="B17" s="15"/>
      <c r="C17" s="58" t="s">
        <v>20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18">
        <f t="shared" si="0"/>
        <v>0</v>
      </c>
      <c r="U17" s="18">
        <f t="shared" si="1"/>
        <v>73.5</v>
      </c>
    </row>
    <row r="18" spans="2:21" ht="15.6">
      <c r="B18" s="15">
        <v>36</v>
      </c>
      <c r="C18" s="58" t="s">
        <v>21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18">
        <f t="shared" si="0"/>
        <v>0</v>
      </c>
      <c r="U18" s="18">
        <f t="shared" si="1"/>
        <v>73.5</v>
      </c>
    </row>
    <row r="19" spans="2:21" ht="15.6">
      <c r="B19" s="15"/>
      <c r="C19" s="58" t="s">
        <v>22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18">
        <f t="shared" si="0"/>
        <v>0</v>
      </c>
      <c r="U19" s="18">
        <f t="shared" si="1"/>
        <v>73.5</v>
      </c>
    </row>
    <row r="20" spans="2:21" ht="15.6">
      <c r="B20" s="15"/>
      <c r="C20" s="58" t="s">
        <v>23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18">
        <f t="shared" si="0"/>
        <v>0</v>
      </c>
      <c r="U20" s="18">
        <f t="shared" si="1"/>
        <v>73.5</v>
      </c>
    </row>
    <row r="21" spans="2:21" ht="16.2" thickBot="1">
      <c r="B21" s="21"/>
      <c r="C21" s="60" t="s">
        <v>24</v>
      </c>
      <c r="D21" s="2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4">
        <f t="shared" si="0"/>
        <v>0</v>
      </c>
      <c r="U21" s="24">
        <f t="shared" si="1"/>
        <v>73.5</v>
      </c>
    </row>
    <row r="22" spans="2:21" ht="15.6">
      <c r="B22" s="10"/>
      <c r="C22" s="59" t="s">
        <v>25</v>
      </c>
      <c r="D22" s="12"/>
      <c r="E22" s="12"/>
      <c r="F22" s="12"/>
      <c r="G22" s="12"/>
      <c r="H22" s="12"/>
      <c r="I22" s="12"/>
      <c r="J22" s="12"/>
      <c r="K22" s="12">
        <v>45</v>
      </c>
      <c r="L22" s="12"/>
      <c r="M22" s="12">
        <v>25</v>
      </c>
      <c r="N22" s="12"/>
      <c r="O22" s="12"/>
      <c r="P22" s="12"/>
      <c r="Q22" s="12"/>
      <c r="R22" s="12"/>
      <c r="S22" s="12"/>
      <c r="T22" s="13">
        <f t="shared" si="0"/>
        <v>70</v>
      </c>
      <c r="U22" s="13">
        <f t="shared" si="1"/>
        <v>143.5</v>
      </c>
    </row>
    <row r="23" spans="2:21" ht="15.6">
      <c r="B23" s="15"/>
      <c r="C23" s="58" t="s">
        <v>26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18">
        <f t="shared" si="0"/>
        <v>0</v>
      </c>
      <c r="U23" s="18">
        <f t="shared" si="1"/>
        <v>143.5</v>
      </c>
    </row>
    <row r="24" spans="2:21" ht="15.6">
      <c r="B24" s="15"/>
      <c r="C24" s="58" t="s">
        <v>27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18">
        <f t="shared" si="0"/>
        <v>0</v>
      </c>
      <c r="U24" s="18">
        <f t="shared" si="1"/>
        <v>143.5</v>
      </c>
    </row>
    <row r="25" spans="2:21" ht="15.6">
      <c r="B25" s="15">
        <v>37</v>
      </c>
      <c r="C25" s="58" t="s">
        <v>28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18">
        <f t="shared" si="0"/>
        <v>0</v>
      </c>
      <c r="U25" s="18">
        <f t="shared" si="1"/>
        <v>143.5</v>
      </c>
    </row>
    <row r="26" spans="2:21" ht="15.6">
      <c r="B26" s="15"/>
      <c r="C26" s="58" t="s">
        <v>29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18">
        <f t="shared" si="0"/>
        <v>0</v>
      </c>
      <c r="U26" s="18">
        <f t="shared" si="1"/>
        <v>143.5</v>
      </c>
    </row>
    <row r="27" spans="2:21" ht="15.6">
      <c r="B27" s="15"/>
      <c r="C27" s="58" t="s">
        <v>30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18">
        <f t="shared" si="0"/>
        <v>0</v>
      </c>
      <c r="U27" s="18">
        <f t="shared" si="1"/>
        <v>143.5</v>
      </c>
    </row>
    <row r="28" spans="2:21" ht="16.2" thickBot="1">
      <c r="B28" s="21"/>
      <c r="C28" s="60" t="s">
        <v>31</v>
      </c>
      <c r="D28" s="22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4">
        <f t="shared" si="0"/>
        <v>0</v>
      </c>
      <c r="U28" s="24">
        <f t="shared" si="1"/>
        <v>143.5</v>
      </c>
    </row>
    <row r="29" spans="2:21" ht="15.6">
      <c r="B29" s="10"/>
      <c r="C29" s="59" t="s">
        <v>32</v>
      </c>
      <c r="D29" s="12"/>
      <c r="E29" s="12"/>
      <c r="F29" s="12"/>
      <c r="G29" s="12"/>
      <c r="H29" s="12"/>
      <c r="I29" s="12"/>
      <c r="J29" s="12"/>
      <c r="K29" s="12">
        <v>127.2</v>
      </c>
      <c r="L29" s="12"/>
      <c r="M29" s="12">
        <v>110</v>
      </c>
      <c r="N29" s="12"/>
      <c r="O29" s="12"/>
      <c r="P29" s="12"/>
      <c r="Q29" s="12"/>
      <c r="R29" s="12"/>
      <c r="S29" s="12"/>
      <c r="T29" s="13">
        <f t="shared" si="0"/>
        <v>237.2</v>
      </c>
      <c r="U29" s="13">
        <f t="shared" si="1"/>
        <v>380.7</v>
      </c>
    </row>
    <row r="30" spans="2:21" ht="15.6">
      <c r="B30" s="15"/>
      <c r="C30" s="58" t="s">
        <v>33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18">
        <f t="shared" si="0"/>
        <v>0</v>
      </c>
      <c r="U30" s="18">
        <f t="shared" si="1"/>
        <v>380.7</v>
      </c>
    </row>
    <row r="31" spans="2:21" ht="15.6">
      <c r="B31" s="15"/>
      <c r="C31" s="58" t="s">
        <v>34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18">
        <f t="shared" si="0"/>
        <v>0</v>
      </c>
      <c r="U31" s="18">
        <f t="shared" si="1"/>
        <v>380.7</v>
      </c>
    </row>
    <row r="32" spans="2:21" ht="15.6">
      <c r="B32" s="15">
        <v>38</v>
      </c>
      <c r="C32" s="58" t="s">
        <v>35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18">
        <f t="shared" si="0"/>
        <v>0</v>
      </c>
      <c r="U32" s="18">
        <f t="shared" si="1"/>
        <v>380.7</v>
      </c>
    </row>
    <row r="33" spans="2:21" ht="15.6">
      <c r="B33" s="15"/>
      <c r="C33" s="58" t="s">
        <v>36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18">
        <f t="shared" si="0"/>
        <v>0</v>
      </c>
      <c r="U33" s="18">
        <f t="shared" si="1"/>
        <v>380.7</v>
      </c>
    </row>
    <row r="34" spans="2:21" ht="15.6">
      <c r="B34" s="15"/>
      <c r="C34" s="58" t="s">
        <v>37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18">
        <f t="shared" si="0"/>
        <v>0</v>
      </c>
      <c r="U34" s="18">
        <f t="shared" si="1"/>
        <v>380.7</v>
      </c>
    </row>
    <row r="35" spans="2:21" ht="16.2" thickBot="1">
      <c r="B35" s="21"/>
      <c r="C35" s="60" t="s">
        <v>38</v>
      </c>
      <c r="D35" s="22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4">
        <f t="shared" si="0"/>
        <v>0</v>
      </c>
      <c r="U35" s="24">
        <f t="shared" si="1"/>
        <v>380.7</v>
      </c>
    </row>
    <row r="36" spans="2:21" ht="15.6">
      <c r="B36" s="10"/>
      <c r="C36" s="59" t="s">
        <v>39</v>
      </c>
      <c r="D36" s="12"/>
      <c r="E36" s="12"/>
      <c r="F36" s="12"/>
      <c r="G36" s="12"/>
      <c r="H36" s="12"/>
      <c r="I36" s="12"/>
      <c r="J36" s="12"/>
      <c r="K36" s="12">
        <v>245</v>
      </c>
      <c r="L36" s="12"/>
      <c r="M36" s="12">
        <v>250</v>
      </c>
      <c r="N36" s="12"/>
      <c r="O36" s="12">
        <v>30</v>
      </c>
      <c r="P36" s="12">
        <v>7</v>
      </c>
      <c r="Q36" s="12"/>
      <c r="R36" s="12"/>
      <c r="S36" s="12"/>
      <c r="T36" s="13">
        <f t="shared" si="0"/>
        <v>532</v>
      </c>
      <c r="U36" s="13">
        <f t="shared" si="1"/>
        <v>912.7</v>
      </c>
    </row>
    <row r="37" spans="2:21" ht="15.6">
      <c r="B37" s="15"/>
      <c r="C37" s="58" t="s">
        <v>40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18">
        <f t="shared" si="0"/>
        <v>0</v>
      </c>
      <c r="U37" s="18">
        <f t="shared" si="1"/>
        <v>912.7</v>
      </c>
    </row>
    <row r="38" spans="2:21" ht="15.6">
      <c r="B38" s="15"/>
      <c r="C38" s="58" t="s">
        <v>41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18">
        <f t="shared" si="0"/>
        <v>0</v>
      </c>
      <c r="U38" s="18">
        <f t="shared" si="1"/>
        <v>912.7</v>
      </c>
    </row>
    <row r="39" spans="2:21" ht="15.6">
      <c r="B39" s="15">
        <v>39</v>
      </c>
      <c r="C39" s="58" t="s">
        <v>42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18">
        <f t="shared" si="0"/>
        <v>0</v>
      </c>
      <c r="U39" s="18">
        <f t="shared" si="1"/>
        <v>912.7</v>
      </c>
    </row>
    <row r="40" spans="2:21" ht="15.6">
      <c r="B40" s="15"/>
      <c r="C40" s="58" t="s">
        <v>43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18">
        <f t="shared" si="0"/>
        <v>0</v>
      </c>
      <c r="U40" s="18">
        <f t="shared" si="1"/>
        <v>912.7</v>
      </c>
    </row>
    <row r="41" spans="2:21" ht="15.6">
      <c r="B41" s="15"/>
      <c r="C41" s="58" t="s">
        <v>44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18">
        <f t="shared" si="0"/>
        <v>0</v>
      </c>
      <c r="U41" s="18">
        <f t="shared" si="1"/>
        <v>912.7</v>
      </c>
    </row>
    <row r="42" spans="2:21" ht="16.2" thickBot="1">
      <c r="B42" s="21"/>
      <c r="C42" s="60" t="s">
        <v>45</v>
      </c>
      <c r="D42" s="22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>
        <f t="shared" si="0"/>
        <v>0</v>
      </c>
      <c r="U42" s="24">
        <f t="shared" si="1"/>
        <v>912.7</v>
      </c>
    </row>
    <row r="43" spans="2:21" ht="15.6">
      <c r="B43" s="10"/>
      <c r="C43" s="59" t="s">
        <v>46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3">
        <f t="shared" si="0"/>
        <v>0</v>
      </c>
      <c r="U43" s="13">
        <f t="shared" si="1"/>
        <v>912.7</v>
      </c>
    </row>
    <row r="44" spans="2:21" ht="15.6">
      <c r="B44" s="15"/>
      <c r="C44" s="58" t="s">
        <v>47</v>
      </c>
      <c r="D44" s="20"/>
      <c r="E44" s="20"/>
      <c r="F44" s="20"/>
      <c r="G44" s="20"/>
      <c r="H44" s="20"/>
      <c r="I44" s="20"/>
      <c r="J44" s="20"/>
      <c r="K44" s="20">
        <v>230</v>
      </c>
      <c r="L44" s="20"/>
      <c r="M44" s="20">
        <v>370</v>
      </c>
      <c r="N44" s="20"/>
      <c r="O44" s="20">
        <v>70</v>
      </c>
      <c r="P44" s="20"/>
      <c r="Q44" s="20"/>
      <c r="R44" s="20"/>
      <c r="S44" s="20"/>
      <c r="T44" s="18">
        <f t="shared" si="0"/>
        <v>670</v>
      </c>
      <c r="U44" s="18">
        <f t="shared" si="1"/>
        <v>1582.7</v>
      </c>
    </row>
    <row r="45" spans="2:21" ht="15.6">
      <c r="B45" s="15"/>
      <c r="C45" s="58" t="s">
        <v>48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18">
        <f t="shared" si="0"/>
        <v>0</v>
      </c>
      <c r="U45" s="18">
        <f t="shared" si="1"/>
        <v>1582.7</v>
      </c>
    </row>
    <row r="46" spans="2:21" ht="15.6">
      <c r="B46" s="15">
        <v>40</v>
      </c>
      <c r="C46" s="58" t="s">
        <v>49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18">
        <f t="shared" si="0"/>
        <v>0</v>
      </c>
      <c r="U46" s="18">
        <f t="shared" si="1"/>
        <v>1582.7</v>
      </c>
    </row>
    <row r="47" spans="2:21" ht="15.6">
      <c r="B47" s="15"/>
      <c r="C47" s="58" t="s">
        <v>50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18">
        <f t="shared" si="0"/>
        <v>0</v>
      </c>
      <c r="U47" s="18">
        <f t="shared" si="1"/>
        <v>1582.7</v>
      </c>
    </row>
    <row r="48" spans="2:21" ht="15.6">
      <c r="B48" s="15"/>
      <c r="C48" s="58" t="s">
        <v>51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18">
        <f t="shared" si="0"/>
        <v>0</v>
      </c>
      <c r="U48" s="18">
        <f t="shared" si="1"/>
        <v>1582.7</v>
      </c>
    </row>
    <row r="49" spans="2:21" ht="16.2" thickBot="1">
      <c r="B49" s="21"/>
      <c r="C49" s="60" t="s">
        <v>52</v>
      </c>
      <c r="D49" s="22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>
        <f t="shared" si="0"/>
        <v>0</v>
      </c>
      <c r="U49" s="24">
        <f t="shared" si="1"/>
        <v>1582.7</v>
      </c>
    </row>
    <row r="50" spans="2:21" ht="15.6">
      <c r="B50" s="10"/>
      <c r="C50" s="59" t="s">
        <v>53</v>
      </c>
      <c r="D50" s="12"/>
      <c r="E50" s="12">
        <v>130</v>
      </c>
      <c r="F50" s="12"/>
      <c r="G50" s="12"/>
      <c r="H50" s="12"/>
      <c r="I50" s="12"/>
      <c r="J50" s="12"/>
      <c r="K50" s="12">
        <v>260</v>
      </c>
      <c r="L50" s="12"/>
      <c r="M50" s="12">
        <v>400</v>
      </c>
      <c r="N50" s="12"/>
      <c r="O50" s="12"/>
      <c r="P50" s="12"/>
      <c r="Q50" s="12"/>
      <c r="R50" s="12"/>
      <c r="S50" s="12"/>
      <c r="T50" s="13">
        <f t="shared" si="0"/>
        <v>790</v>
      </c>
      <c r="U50" s="13">
        <f t="shared" si="1"/>
        <v>2372.6999999999998</v>
      </c>
    </row>
    <row r="51" spans="2:21" ht="15.6">
      <c r="B51" s="15"/>
      <c r="C51" s="58" t="s">
        <v>54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18">
        <f t="shared" si="0"/>
        <v>0</v>
      </c>
      <c r="U51" s="18">
        <f t="shared" si="1"/>
        <v>2372.6999999999998</v>
      </c>
    </row>
    <row r="52" spans="2:21" ht="15.6">
      <c r="B52" s="15"/>
      <c r="C52" s="58" t="s">
        <v>55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18">
        <f t="shared" si="0"/>
        <v>0</v>
      </c>
      <c r="U52" s="18">
        <f t="shared" si="1"/>
        <v>2372.6999999999998</v>
      </c>
    </row>
    <row r="53" spans="2:21" ht="15.6">
      <c r="B53" s="15"/>
      <c r="C53" s="58" t="s">
        <v>56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18">
        <f t="shared" si="0"/>
        <v>0</v>
      </c>
      <c r="U53" s="18">
        <f t="shared" si="1"/>
        <v>2372.6999999999998</v>
      </c>
    </row>
    <row r="54" spans="2:21" ht="15.6">
      <c r="B54" s="15"/>
      <c r="C54" s="58" t="s">
        <v>57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18">
        <f t="shared" si="0"/>
        <v>0</v>
      </c>
      <c r="U54" s="18">
        <f t="shared" si="1"/>
        <v>2372.6999999999998</v>
      </c>
    </row>
    <row r="55" spans="2:21" ht="15.6">
      <c r="B55" s="15">
        <v>41</v>
      </c>
      <c r="C55" s="58" t="s">
        <v>58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18">
        <f t="shared" si="0"/>
        <v>0</v>
      </c>
      <c r="U55" s="18">
        <f t="shared" si="1"/>
        <v>2372.6999999999998</v>
      </c>
    </row>
    <row r="56" spans="2:21" ht="16.2" thickBot="1">
      <c r="B56" s="21"/>
      <c r="C56" s="60" t="s">
        <v>59</v>
      </c>
      <c r="D56" s="22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>
        <f t="shared" si="0"/>
        <v>0</v>
      </c>
      <c r="U56" s="24">
        <f t="shared" si="1"/>
        <v>2372.6999999999998</v>
      </c>
    </row>
    <row r="57" spans="2:21" ht="15.6">
      <c r="B57" s="10"/>
      <c r="C57" s="59" t="s">
        <v>60</v>
      </c>
      <c r="D57" s="12"/>
      <c r="E57" s="12">
        <v>20</v>
      </c>
      <c r="F57" s="12">
        <v>60</v>
      </c>
      <c r="G57" s="12"/>
      <c r="H57" s="12"/>
      <c r="I57" s="12"/>
      <c r="J57" s="12"/>
      <c r="K57" s="12">
        <v>740</v>
      </c>
      <c r="L57" s="12">
        <v>30.2</v>
      </c>
      <c r="M57" s="12">
        <v>700</v>
      </c>
      <c r="N57" s="12"/>
      <c r="O57" s="12">
        <v>31.6</v>
      </c>
      <c r="P57" s="12"/>
      <c r="Q57" s="12"/>
      <c r="R57" s="12"/>
      <c r="S57" s="12"/>
      <c r="T57" s="13">
        <f t="shared" si="0"/>
        <v>1581.8</v>
      </c>
      <c r="U57" s="13">
        <f t="shared" si="1"/>
        <v>3954.5</v>
      </c>
    </row>
    <row r="58" spans="2:21" ht="15.6">
      <c r="B58" s="15"/>
      <c r="C58" s="58" t="s">
        <v>61</v>
      </c>
      <c r="D58" s="20"/>
      <c r="E58" s="20"/>
      <c r="F58" s="20"/>
      <c r="G58" s="20"/>
      <c r="H58" s="20"/>
      <c r="I58" s="20">
        <v>40</v>
      </c>
      <c r="J58" s="20"/>
      <c r="K58" s="20">
        <v>380</v>
      </c>
      <c r="L58" s="20"/>
      <c r="M58" s="20">
        <v>200</v>
      </c>
      <c r="N58" s="20"/>
      <c r="O58" s="20"/>
      <c r="P58" s="20"/>
      <c r="Q58" s="20"/>
      <c r="R58" s="20"/>
      <c r="S58" s="20"/>
      <c r="T58" s="18">
        <f t="shared" si="0"/>
        <v>620</v>
      </c>
      <c r="U58" s="18">
        <f t="shared" si="1"/>
        <v>4574.5</v>
      </c>
    </row>
    <row r="59" spans="2:21" ht="15.6">
      <c r="B59" s="15"/>
      <c r="C59" s="58" t="s">
        <v>62</v>
      </c>
      <c r="D59" s="20"/>
      <c r="E59" s="20"/>
      <c r="F59" s="20"/>
      <c r="G59" s="20"/>
      <c r="H59" s="20"/>
      <c r="I59" s="20"/>
      <c r="J59" s="20"/>
      <c r="K59" s="20"/>
      <c r="L59" s="20"/>
      <c r="M59" s="20">
        <v>40</v>
      </c>
      <c r="N59" s="20"/>
      <c r="O59" s="20"/>
      <c r="P59" s="20"/>
      <c r="Q59" s="20"/>
      <c r="R59" s="20"/>
      <c r="S59" s="20"/>
      <c r="T59" s="18">
        <f t="shared" si="0"/>
        <v>40</v>
      </c>
      <c r="U59" s="18">
        <f t="shared" si="1"/>
        <v>4614.5</v>
      </c>
    </row>
    <row r="60" spans="2:21" ht="15.6">
      <c r="B60" s="15"/>
      <c r="C60" s="58" t="s">
        <v>63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18">
        <f t="shared" si="0"/>
        <v>0</v>
      </c>
      <c r="U60" s="18">
        <f t="shared" si="1"/>
        <v>4614.5</v>
      </c>
    </row>
    <row r="61" spans="2:21" ht="15.6">
      <c r="B61" s="15"/>
      <c r="C61" s="58" t="s">
        <v>64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18">
        <f t="shared" si="0"/>
        <v>0</v>
      </c>
      <c r="U61" s="18">
        <f t="shared" si="1"/>
        <v>4614.5</v>
      </c>
    </row>
    <row r="62" spans="2:21" ht="15.6">
      <c r="B62" s="15">
        <v>42</v>
      </c>
      <c r="C62" s="58" t="s">
        <v>65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18">
        <f t="shared" si="0"/>
        <v>0</v>
      </c>
      <c r="U62" s="18">
        <f t="shared" si="1"/>
        <v>4614.5</v>
      </c>
    </row>
    <row r="63" spans="2:21" ht="16.2" thickBot="1">
      <c r="B63" s="21"/>
      <c r="C63" s="60" t="s">
        <v>66</v>
      </c>
      <c r="D63" s="22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4">
        <f t="shared" si="0"/>
        <v>0</v>
      </c>
      <c r="U63" s="24">
        <f t="shared" si="1"/>
        <v>4614.5</v>
      </c>
    </row>
    <row r="64" spans="2:21" ht="15.6">
      <c r="B64" s="10"/>
      <c r="C64" s="59" t="s">
        <v>67</v>
      </c>
      <c r="D64" s="12"/>
      <c r="E64" s="12">
        <f>5+174.4+110</f>
        <v>289.39999999999998</v>
      </c>
      <c r="F64" s="12"/>
      <c r="G64" s="12">
        <v>20</v>
      </c>
      <c r="H64" s="12"/>
      <c r="I64" s="12"/>
      <c r="J64" s="12"/>
      <c r="K64" s="12">
        <v>1400</v>
      </c>
      <c r="L64" s="12"/>
      <c r="M64" s="12">
        <v>1000</v>
      </c>
      <c r="N64" s="12">
        <v>20</v>
      </c>
      <c r="O64" s="12">
        <v>125</v>
      </c>
      <c r="P64" s="12">
        <v>25</v>
      </c>
      <c r="Q64" s="12">
        <v>10</v>
      </c>
      <c r="R64" s="12">
        <v>10</v>
      </c>
      <c r="S64" s="12"/>
      <c r="T64" s="13">
        <f t="shared" si="0"/>
        <v>2899.4</v>
      </c>
      <c r="U64" s="13">
        <f t="shared" si="1"/>
        <v>7513.9</v>
      </c>
    </row>
    <row r="65" spans="2:21" ht="15.6">
      <c r="B65" s="15"/>
      <c r="C65" s="58" t="s">
        <v>68</v>
      </c>
      <c r="D65" s="20"/>
      <c r="E65" s="20">
        <v>56.4</v>
      </c>
      <c r="F65" s="20"/>
      <c r="G65" s="20"/>
      <c r="H65" s="20"/>
      <c r="I65" s="20"/>
      <c r="J65" s="20"/>
      <c r="K65" s="20">
        <v>860</v>
      </c>
      <c r="L65" s="20"/>
      <c r="M65" s="20">
        <v>940</v>
      </c>
      <c r="N65" s="20"/>
      <c r="O65" s="20"/>
      <c r="P65" s="20"/>
      <c r="Q65" s="20"/>
      <c r="R65" s="20"/>
      <c r="S65" s="20"/>
      <c r="T65" s="18">
        <f t="shared" si="0"/>
        <v>1856.4</v>
      </c>
      <c r="U65" s="18">
        <f t="shared" si="1"/>
        <v>9370.2999999999993</v>
      </c>
    </row>
    <row r="66" spans="2:21" ht="15.6">
      <c r="B66" s="15"/>
      <c r="C66" s="58" t="s">
        <v>69</v>
      </c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18">
        <f t="shared" si="0"/>
        <v>0</v>
      </c>
      <c r="U66" s="18">
        <f t="shared" si="1"/>
        <v>9370.2999999999993</v>
      </c>
    </row>
    <row r="67" spans="2:21" ht="15.6">
      <c r="B67" s="15"/>
      <c r="C67" s="58" t="s">
        <v>70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18">
        <f t="shared" si="0"/>
        <v>0</v>
      </c>
      <c r="U67" s="18">
        <f t="shared" si="1"/>
        <v>9370.2999999999993</v>
      </c>
    </row>
    <row r="68" spans="2:21" ht="15.6">
      <c r="B68" s="15"/>
      <c r="C68" s="58" t="s">
        <v>71</v>
      </c>
      <c r="D68" s="20"/>
      <c r="E68" s="20">
        <v>191</v>
      </c>
      <c r="F68" s="20"/>
      <c r="G68" s="20">
        <v>70</v>
      </c>
      <c r="H68" s="20"/>
      <c r="I68" s="20"/>
      <c r="J68" s="20"/>
      <c r="K68" s="20">
        <v>700</v>
      </c>
      <c r="L68" s="20">
        <v>20</v>
      </c>
      <c r="M68" s="20">
        <v>420</v>
      </c>
      <c r="N68" s="20">
        <v>20</v>
      </c>
      <c r="O68" s="20">
        <v>152</v>
      </c>
      <c r="P68" s="20">
        <v>88.3</v>
      </c>
      <c r="Q68" s="20">
        <v>240</v>
      </c>
      <c r="R68" s="20">
        <v>70</v>
      </c>
      <c r="S68" s="20"/>
      <c r="T68" s="18">
        <f t="shared" si="0"/>
        <v>1971.3</v>
      </c>
      <c r="U68" s="18">
        <f t="shared" si="1"/>
        <v>11341.599999999999</v>
      </c>
    </row>
    <row r="69" spans="2:21" ht="15.6">
      <c r="B69" s="15">
        <v>43</v>
      </c>
      <c r="C69" s="58" t="s">
        <v>72</v>
      </c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18">
        <f t="shared" ref="T69:T126" si="2">SUM(D69:S69)</f>
        <v>0</v>
      </c>
      <c r="U69" s="18">
        <f t="shared" si="1"/>
        <v>11341.599999999999</v>
      </c>
    </row>
    <row r="70" spans="2:21" ht="16.2" thickBot="1">
      <c r="B70" s="21"/>
      <c r="C70" s="60" t="s">
        <v>73</v>
      </c>
      <c r="D70" s="22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4">
        <f t="shared" si="2"/>
        <v>0</v>
      </c>
      <c r="U70" s="24">
        <f t="shared" ref="U70:U126" si="3">+U69+T70</f>
        <v>11341.599999999999</v>
      </c>
    </row>
    <row r="71" spans="2:21" ht="15.6">
      <c r="B71" s="10"/>
      <c r="C71" s="59" t="s">
        <v>74</v>
      </c>
      <c r="D71" s="12"/>
      <c r="E71" s="12">
        <v>36</v>
      </c>
      <c r="F71" s="12"/>
      <c r="G71" s="12">
        <v>610</v>
      </c>
      <c r="H71" s="12"/>
      <c r="I71" s="12"/>
      <c r="J71" s="12"/>
      <c r="K71" s="12"/>
      <c r="L71" s="12"/>
      <c r="M71" s="12"/>
      <c r="N71" s="12">
        <v>415</v>
      </c>
      <c r="O71" s="12">
        <v>240</v>
      </c>
      <c r="P71" s="12">
        <v>280</v>
      </c>
      <c r="Q71" s="12">
        <v>935</v>
      </c>
      <c r="R71" s="12">
        <v>620</v>
      </c>
      <c r="S71" s="12"/>
      <c r="T71" s="13">
        <f t="shared" si="2"/>
        <v>3136</v>
      </c>
      <c r="U71" s="13">
        <f t="shared" si="3"/>
        <v>14477.599999999999</v>
      </c>
    </row>
    <row r="72" spans="2:21" ht="15.6">
      <c r="B72" s="15"/>
      <c r="C72" s="58" t="s">
        <v>75</v>
      </c>
      <c r="D72" s="20"/>
      <c r="E72" s="20">
        <f>70</f>
        <v>70</v>
      </c>
      <c r="F72" s="20"/>
      <c r="G72" s="20"/>
      <c r="H72" s="20"/>
      <c r="I72" s="20"/>
      <c r="J72" s="20"/>
      <c r="K72" s="20">
        <f>1480</f>
        <v>1480</v>
      </c>
      <c r="L72" s="20"/>
      <c r="M72" s="20">
        <f>1863.8</f>
        <v>1863.8</v>
      </c>
      <c r="N72" s="20"/>
      <c r="O72" s="20"/>
      <c r="P72" s="20"/>
      <c r="Q72" s="20"/>
      <c r="R72" s="20"/>
      <c r="S72" s="20"/>
      <c r="T72" s="18">
        <f t="shared" si="2"/>
        <v>3413.8</v>
      </c>
      <c r="U72" s="18">
        <f t="shared" si="3"/>
        <v>17891.399999999998</v>
      </c>
    </row>
    <row r="73" spans="2:21" ht="15.6">
      <c r="B73" s="15"/>
      <c r="C73" s="58" t="s">
        <v>76</v>
      </c>
      <c r="D73" s="20"/>
      <c r="E73" s="20">
        <f>200</f>
        <v>200</v>
      </c>
      <c r="F73" s="20"/>
      <c r="G73" s="20"/>
      <c r="H73" s="20"/>
      <c r="I73" s="20"/>
      <c r="J73" s="20"/>
      <c r="K73" s="20">
        <f>2790</f>
        <v>2790</v>
      </c>
      <c r="L73" s="20"/>
      <c r="M73" s="20">
        <f>2640</f>
        <v>2640</v>
      </c>
      <c r="N73" s="20"/>
      <c r="O73" s="20"/>
      <c r="P73" s="20"/>
      <c r="Q73" s="20"/>
      <c r="R73" s="20"/>
      <c r="S73" s="20"/>
      <c r="T73" s="18">
        <f t="shared" si="2"/>
        <v>5630</v>
      </c>
      <c r="U73" s="18">
        <f t="shared" si="3"/>
        <v>23521.399999999998</v>
      </c>
    </row>
    <row r="74" spans="2:21" ht="15.6">
      <c r="B74" s="15"/>
      <c r="C74" s="58" t="s">
        <v>77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18">
        <f t="shared" si="2"/>
        <v>0</v>
      </c>
      <c r="U74" s="18">
        <f t="shared" si="3"/>
        <v>23521.399999999998</v>
      </c>
    </row>
    <row r="75" spans="2:21" ht="15.6">
      <c r="B75" s="15"/>
      <c r="C75" s="58" t="s">
        <v>78</v>
      </c>
      <c r="D75" s="20"/>
      <c r="E75" s="20">
        <f>50+330</f>
        <v>380</v>
      </c>
      <c r="F75" s="20"/>
      <c r="G75" s="20">
        <f>2340+2970</f>
        <v>5310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>
        <f>1680</f>
        <v>1680</v>
      </c>
      <c r="S75" s="20"/>
      <c r="T75" s="18">
        <f t="shared" si="2"/>
        <v>7370</v>
      </c>
      <c r="U75" s="18">
        <f t="shared" si="3"/>
        <v>30891.399999999998</v>
      </c>
    </row>
    <row r="76" spans="2:21" ht="15.6">
      <c r="B76" s="15">
        <v>44</v>
      </c>
      <c r="C76" s="58" t="s">
        <v>79</v>
      </c>
      <c r="D76" s="20"/>
      <c r="E76" s="20"/>
      <c r="F76" s="20"/>
      <c r="G76" s="20">
        <f>1545+1670</f>
        <v>3215</v>
      </c>
      <c r="H76" s="20"/>
      <c r="I76" s="20"/>
      <c r="J76" s="20"/>
      <c r="K76" s="20"/>
      <c r="L76" s="20"/>
      <c r="M76" s="20"/>
      <c r="N76" s="20"/>
      <c r="O76" s="20"/>
      <c r="P76" s="20">
        <f>2720</f>
        <v>2720</v>
      </c>
      <c r="Q76" s="20">
        <f>460+740</f>
        <v>1200</v>
      </c>
      <c r="R76" s="20"/>
      <c r="S76" s="20">
        <f>2000+240</f>
        <v>2240</v>
      </c>
      <c r="T76" s="18">
        <f t="shared" si="2"/>
        <v>9375</v>
      </c>
      <c r="U76" s="26">
        <f t="shared" si="3"/>
        <v>40266.399999999994</v>
      </c>
    </row>
    <row r="77" spans="2:21" ht="16.2" thickBot="1">
      <c r="B77" s="21"/>
      <c r="C77" s="60" t="s">
        <v>80</v>
      </c>
      <c r="D77" s="22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4">
        <f t="shared" si="2"/>
        <v>0</v>
      </c>
      <c r="U77" s="28">
        <f t="shared" si="3"/>
        <v>40266.399999999994</v>
      </c>
    </row>
    <row r="78" spans="2:21" ht="15.6">
      <c r="B78" s="10"/>
      <c r="C78" s="59" t="s">
        <v>81</v>
      </c>
      <c r="D78" s="12"/>
      <c r="E78" s="12">
        <f>120</f>
        <v>120</v>
      </c>
      <c r="F78" s="12"/>
      <c r="G78" s="12"/>
      <c r="H78" s="12"/>
      <c r="I78" s="12"/>
      <c r="J78" s="12"/>
      <c r="K78" s="12"/>
      <c r="L78" s="12"/>
      <c r="M78" s="12"/>
      <c r="N78" s="12">
        <f>3850+2830+40</f>
        <v>6720</v>
      </c>
      <c r="O78" s="12">
        <f>360</f>
        <v>360</v>
      </c>
      <c r="P78" s="12">
        <f>1480</f>
        <v>1480</v>
      </c>
      <c r="Q78" s="12">
        <f>150</f>
        <v>150</v>
      </c>
      <c r="R78" s="12">
        <f>110</f>
        <v>110</v>
      </c>
      <c r="S78" s="12"/>
      <c r="T78" s="30">
        <f t="shared" si="2"/>
        <v>8940</v>
      </c>
      <c r="U78" s="31">
        <f t="shared" si="3"/>
        <v>49206.399999999994</v>
      </c>
    </row>
    <row r="79" spans="2:21" ht="15.6">
      <c r="B79" s="15"/>
      <c r="C79" s="58" t="s">
        <v>82</v>
      </c>
      <c r="D79" s="20"/>
      <c r="E79" s="20">
        <v>505</v>
      </c>
      <c r="F79" s="20"/>
      <c r="G79" s="20"/>
      <c r="H79" s="20"/>
      <c r="I79" s="20">
        <v>20</v>
      </c>
      <c r="J79" s="20"/>
      <c r="K79" s="20">
        <v>2360</v>
      </c>
      <c r="L79" s="20"/>
      <c r="M79" s="20">
        <f>2700+140</f>
        <v>2840</v>
      </c>
      <c r="N79" s="20">
        <f>900+950</f>
        <v>1850</v>
      </c>
      <c r="O79" s="20"/>
      <c r="P79" s="20">
        <v>300</v>
      </c>
      <c r="Q79" s="20"/>
      <c r="R79" s="20"/>
      <c r="S79" s="20"/>
      <c r="T79" s="32">
        <f t="shared" si="2"/>
        <v>7875</v>
      </c>
      <c r="U79" s="26">
        <f t="shared" si="3"/>
        <v>57081.399999999994</v>
      </c>
    </row>
    <row r="80" spans="2:21" ht="15.6">
      <c r="B80" s="15"/>
      <c r="C80" s="58" t="s">
        <v>83</v>
      </c>
      <c r="D80" s="20"/>
      <c r="E80" s="20">
        <f>636</f>
        <v>636</v>
      </c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32">
        <f t="shared" si="2"/>
        <v>636</v>
      </c>
      <c r="U80" s="26">
        <f t="shared" si="3"/>
        <v>57717.399999999994</v>
      </c>
    </row>
    <row r="81" spans="2:21" ht="15.6">
      <c r="B81" s="15"/>
      <c r="C81" s="58" t="s">
        <v>84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32">
        <f t="shared" si="2"/>
        <v>0</v>
      </c>
      <c r="U81" s="26">
        <f t="shared" si="3"/>
        <v>57717.399999999994</v>
      </c>
    </row>
    <row r="82" spans="2:21" ht="15.6">
      <c r="B82" s="15"/>
      <c r="C82" s="58" t="s">
        <v>85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32">
        <f t="shared" si="2"/>
        <v>0</v>
      </c>
      <c r="U82" s="26">
        <f t="shared" si="3"/>
        <v>57717.399999999994</v>
      </c>
    </row>
    <row r="83" spans="2:21" ht="15.6">
      <c r="B83" s="15">
        <v>45</v>
      </c>
      <c r="C83" s="58" t="s">
        <v>86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32">
        <f t="shared" si="2"/>
        <v>0</v>
      </c>
      <c r="U83" s="26">
        <f t="shared" si="3"/>
        <v>57717.399999999994</v>
      </c>
    </row>
    <row r="84" spans="2:21" ht="16.2" thickBot="1">
      <c r="B84" s="21"/>
      <c r="C84" s="60" t="s">
        <v>87</v>
      </c>
      <c r="D84" s="22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33">
        <f t="shared" si="2"/>
        <v>0</v>
      </c>
      <c r="U84" s="28">
        <f t="shared" si="3"/>
        <v>57717.399999999994</v>
      </c>
    </row>
    <row r="85" spans="2:21" ht="15.6">
      <c r="B85" s="10"/>
      <c r="C85" s="59" t="s">
        <v>88</v>
      </c>
      <c r="D85" s="12">
        <f>300</f>
        <v>300</v>
      </c>
      <c r="E85" s="12">
        <f>1197</f>
        <v>1197</v>
      </c>
      <c r="F85" s="12"/>
      <c r="G85" s="12">
        <f>130</f>
        <v>130</v>
      </c>
      <c r="H85" s="12"/>
      <c r="I85" s="12"/>
      <c r="J85" s="12"/>
      <c r="K85" s="12"/>
      <c r="L85" s="12"/>
      <c r="M85" s="12"/>
      <c r="N85" s="12">
        <f>680</f>
        <v>680</v>
      </c>
      <c r="O85" s="12"/>
      <c r="P85" s="12">
        <f>220+460</f>
        <v>680</v>
      </c>
      <c r="Q85" s="12">
        <f>273.6</f>
        <v>273.60000000000002</v>
      </c>
      <c r="R85" s="12"/>
      <c r="S85" s="12"/>
      <c r="T85" s="30">
        <f t="shared" si="2"/>
        <v>3260.6</v>
      </c>
      <c r="U85" s="31">
        <f t="shared" si="3"/>
        <v>60977.999999999993</v>
      </c>
    </row>
    <row r="86" spans="2:21" ht="15.6">
      <c r="B86" s="15"/>
      <c r="C86" s="58" t="s">
        <v>89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>
        <v>170</v>
      </c>
      <c r="Q86" s="20"/>
      <c r="R86" s="20"/>
      <c r="S86" s="20"/>
      <c r="T86" s="32">
        <f t="shared" si="2"/>
        <v>170</v>
      </c>
      <c r="U86" s="26">
        <f t="shared" si="3"/>
        <v>61147.999999999993</v>
      </c>
    </row>
    <row r="87" spans="2:21" ht="15.6">
      <c r="B87" s="15"/>
      <c r="C87" s="58" t="s">
        <v>90</v>
      </c>
      <c r="D87" s="20"/>
      <c r="E87" s="20">
        <v>12.9</v>
      </c>
      <c r="F87" s="20"/>
      <c r="G87" s="20"/>
      <c r="H87" s="20"/>
      <c r="I87" s="20"/>
      <c r="J87" s="20"/>
      <c r="K87" s="20">
        <v>75</v>
      </c>
      <c r="L87" s="20"/>
      <c r="M87" s="20">
        <v>100</v>
      </c>
      <c r="N87" s="20"/>
      <c r="O87" s="20"/>
      <c r="P87" s="20"/>
      <c r="Q87" s="20"/>
      <c r="R87" s="20"/>
      <c r="S87" s="20"/>
      <c r="T87" s="32">
        <f t="shared" si="2"/>
        <v>187.9</v>
      </c>
      <c r="U87" s="26">
        <f t="shared" si="3"/>
        <v>61335.899999999994</v>
      </c>
    </row>
    <row r="88" spans="2:21" ht="15.6">
      <c r="B88" s="15"/>
      <c r="C88" s="58" t="s">
        <v>91</v>
      </c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32">
        <f t="shared" si="2"/>
        <v>0</v>
      </c>
      <c r="U88" s="26">
        <f t="shared" si="3"/>
        <v>61335.899999999994</v>
      </c>
    </row>
    <row r="89" spans="2:21" ht="15.6">
      <c r="B89" s="25"/>
      <c r="C89" s="58" t="s">
        <v>92</v>
      </c>
      <c r="D89" s="20">
        <v>908.9</v>
      </c>
      <c r="E89" s="20">
        <v>372</v>
      </c>
      <c r="F89" s="20"/>
      <c r="G89" s="20">
        <v>580</v>
      </c>
      <c r="H89" s="20"/>
      <c r="I89" s="20"/>
      <c r="J89" s="20"/>
      <c r="K89" s="20"/>
      <c r="L89" s="20"/>
      <c r="M89" s="20"/>
      <c r="N89" s="20">
        <f>360+1626.8+380</f>
        <v>2366.8000000000002</v>
      </c>
      <c r="O89" s="20"/>
      <c r="P89" s="20">
        <f>160+180</f>
        <v>340</v>
      </c>
      <c r="Q89" s="20"/>
      <c r="R89" s="20"/>
      <c r="S89" s="20"/>
      <c r="T89" s="32">
        <f t="shared" si="2"/>
        <v>4567.7000000000007</v>
      </c>
      <c r="U89" s="26">
        <f t="shared" si="3"/>
        <v>65903.599999999991</v>
      </c>
    </row>
    <row r="90" spans="2:21" ht="15.6">
      <c r="B90" s="25">
        <v>46</v>
      </c>
      <c r="C90" s="58" t="s">
        <v>93</v>
      </c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32">
        <f t="shared" si="2"/>
        <v>0</v>
      </c>
      <c r="U90" s="26">
        <f t="shared" si="3"/>
        <v>65903.599999999991</v>
      </c>
    </row>
    <row r="91" spans="2:21" ht="16.2" thickBot="1">
      <c r="B91" s="27"/>
      <c r="C91" s="60" t="s">
        <v>94</v>
      </c>
      <c r="D91" s="22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33">
        <f t="shared" si="2"/>
        <v>0</v>
      </c>
      <c r="U91" s="28">
        <f t="shared" si="3"/>
        <v>65903.599999999991</v>
      </c>
    </row>
    <row r="92" spans="2:21" ht="15.6">
      <c r="B92" s="29"/>
      <c r="C92" s="59" t="s">
        <v>95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30">
        <f t="shared" si="2"/>
        <v>0</v>
      </c>
      <c r="U92" s="31">
        <f t="shared" si="3"/>
        <v>65903.599999999991</v>
      </c>
    </row>
    <row r="93" spans="2:21" ht="15.6">
      <c r="B93" s="25"/>
      <c r="C93" s="58" t="s">
        <v>96</v>
      </c>
      <c r="D93" s="20">
        <v>2440</v>
      </c>
      <c r="E93" s="20">
        <v>420</v>
      </c>
      <c r="F93" s="20"/>
      <c r="G93" s="20">
        <v>464</v>
      </c>
      <c r="H93" s="20"/>
      <c r="I93" s="20"/>
      <c r="J93" s="20"/>
      <c r="K93" s="20">
        <v>60</v>
      </c>
      <c r="L93" s="20"/>
      <c r="M93" s="20">
        <v>28.1</v>
      </c>
      <c r="N93" s="20">
        <v>580</v>
      </c>
      <c r="O93" s="20"/>
      <c r="P93" s="20"/>
      <c r="Q93" s="20">
        <v>20</v>
      </c>
      <c r="R93" s="20">
        <v>60</v>
      </c>
      <c r="S93" s="20">
        <v>87</v>
      </c>
      <c r="T93" s="32">
        <f t="shared" si="2"/>
        <v>4159.1000000000004</v>
      </c>
      <c r="U93" s="26">
        <f t="shared" si="3"/>
        <v>70062.7</v>
      </c>
    </row>
    <row r="94" spans="2:21" ht="15.6">
      <c r="B94" s="25" t="s">
        <v>97</v>
      </c>
      <c r="C94" s="58" t="s">
        <v>98</v>
      </c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32">
        <f t="shared" si="2"/>
        <v>0</v>
      </c>
      <c r="U94" s="26">
        <f t="shared" si="3"/>
        <v>70062.7</v>
      </c>
    </row>
    <row r="95" spans="2:21" ht="15.6">
      <c r="B95" s="25"/>
      <c r="C95" s="58" t="s">
        <v>99</v>
      </c>
      <c r="D95" s="20"/>
      <c r="E95" s="20"/>
      <c r="F95" s="20">
        <f>1000+284.2</f>
        <v>1284.2</v>
      </c>
      <c r="G95" s="20"/>
      <c r="H95" s="20"/>
      <c r="I95" s="20"/>
      <c r="J95" s="20"/>
      <c r="K95" s="20"/>
      <c r="L95" s="20"/>
      <c r="M95" s="20"/>
      <c r="N95" s="20"/>
      <c r="O95" s="20">
        <f>1100+3416.6</f>
        <v>4516.6000000000004</v>
      </c>
      <c r="P95" s="20"/>
      <c r="Q95" s="20"/>
      <c r="R95" s="20"/>
      <c r="S95" s="20"/>
      <c r="T95" s="32">
        <f t="shared" si="2"/>
        <v>5800.8</v>
      </c>
      <c r="U95" s="26">
        <f t="shared" si="3"/>
        <v>75863.5</v>
      </c>
    </row>
    <row r="96" spans="2:21" ht="15.6">
      <c r="B96" s="25"/>
      <c r="C96" s="58" t="s">
        <v>100</v>
      </c>
      <c r="D96" s="20"/>
      <c r="E96" s="20"/>
      <c r="F96" s="20"/>
      <c r="G96" s="20"/>
      <c r="H96" s="20"/>
      <c r="I96" s="20"/>
      <c r="J96" s="20">
        <v>1487.3</v>
      </c>
      <c r="K96" s="20"/>
      <c r="L96" s="20">
        <v>1540</v>
      </c>
      <c r="M96" s="20"/>
      <c r="N96" s="20">
        <f>1440+20</f>
        <v>1460</v>
      </c>
      <c r="O96" s="20">
        <v>2880</v>
      </c>
      <c r="P96" s="20">
        <v>560</v>
      </c>
      <c r="Q96" s="20">
        <v>1000</v>
      </c>
      <c r="R96" s="20">
        <v>3500</v>
      </c>
      <c r="S96" s="20"/>
      <c r="T96" s="32">
        <f t="shared" si="2"/>
        <v>12427.3</v>
      </c>
      <c r="U96" s="26">
        <f t="shared" si="3"/>
        <v>88290.8</v>
      </c>
    </row>
    <row r="97" spans="2:21" ht="15.6">
      <c r="B97" s="25">
        <v>47</v>
      </c>
      <c r="C97" s="58" t="s">
        <v>101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32">
        <f t="shared" si="2"/>
        <v>0</v>
      </c>
      <c r="U97" s="26">
        <f t="shared" si="3"/>
        <v>88290.8</v>
      </c>
    </row>
    <row r="98" spans="2:21" ht="16.2" thickBot="1">
      <c r="B98" s="27"/>
      <c r="C98" s="60" t="s">
        <v>102</v>
      </c>
      <c r="D98" s="22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33">
        <f t="shared" si="2"/>
        <v>0</v>
      </c>
      <c r="U98" s="28">
        <f t="shared" si="3"/>
        <v>88290.8</v>
      </c>
    </row>
    <row r="99" spans="2:21" ht="15.6">
      <c r="B99" s="10"/>
      <c r="C99" s="59" t="s">
        <v>103</v>
      </c>
      <c r="D99" s="12"/>
      <c r="E99" s="12"/>
      <c r="F99" s="12">
        <f>1745.1</f>
        <v>1745.1</v>
      </c>
      <c r="G99" s="12">
        <v>700</v>
      </c>
      <c r="H99" s="12">
        <v>260</v>
      </c>
      <c r="I99" s="12"/>
      <c r="J99" s="12">
        <v>2220</v>
      </c>
      <c r="K99" s="12"/>
      <c r="L99" s="12">
        <v>680</v>
      </c>
      <c r="M99" s="12"/>
      <c r="N99" s="12"/>
      <c r="O99" s="12"/>
      <c r="P99" s="12"/>
      <c r="Q99" s="12"/>
      <c r="R99" s="12"/>
      <c r="S99" s="12"/>
      <c r="T99" s="30">
        <f t="shared" si="2"/>
        <v>5605.1</v>
      </c>
      <c r="U99" s="31">
        <f t="shared" si="3"/>
        <v>93895.900000000009</v>
      </c>
    </row>
    <row r="100" spans="2:21" ht="15.6">
      <c r="B100" s="15"/>
      <c r="C100" s="58" t="s">
        <v>104</v>
      </c>
      <c r="D100" s="20"/>
      <c r="E100" s="20"/>
      <c r="F100" s="20">
        <v>630</v>
      </c>
      <c r="G100" s="20">
        <f>2260+734.2</f>
        <v>2994.2</v>
      </c>
      <c r="H100" s="20">
        <v>880</v>
      </c>
      <c r="I100" s="20"/>
      <c r="J100" s="20"/>
      <c r="K100" s="20"/>
      <c r="L100" s="20">
        <v>1800</v>
      </c>
      <c r="M100" s="20"/>
      <c r="N100" s="20">
        <v>720</v>
      </c>
      <c r="O100" s="20">
        <v>3600</v>
      </c>
      <c r="P100" s="20">
        <v>2200</v>
      </c>
      <c r="Q100" s="20"/>
      <c r="R100" s="20"/>
      <c r="S100" s="20"/>
      <c r="T100" s="32">
        <f t="shared" si="2"/>
        <v>12824.2</v>
      </c>
      <c r="U100" s="26">
        <f t="shared" si="3"/>
        <v>106720.1</v>
      </c>
    </row>
    <row r="101" spans="2:21" ht="15.6">
      <c r="B101" s="15"/>
      <c r="C101" s="58" t="s">
        <v>105</v>
      </c>
      <c r="D101" s="20"/>
      <c r="E101" s="20"/>
      <c r="F101" s="20"/>
      <c r="G101" s="20"/>
      <c r="H101" s="20"/>
      <c r="I101" s="20"/>
      <c r="J101" s="20"/>
      <c r="K101" s="20"/>
      <c r="L101" s="20">
        <v>30</v>
      </c>
      <c r="M101" s="20">
        <f>1100+2194</f>
        <v>3294</v>
      </c>
      <c r="N101" s="20">
        <f>4600</f>
        <v>4600</v>
      </c>
      <c r="O101" s="20">
        <v>5160</v>
      </c>
      <c r="P101" s="20">
        <v>1800</v>
      </c>
      <c r="Q101" s="20">
        <v>3080</v>
      </c>
      <c r="R101" s="20"/>
      <c r="S101" s="20"/>
      <c r="T101" s="32">
        <f t="shared" si="2"/>
        <v>17964</v>
      </c>
      <c r="U101" s="26">
        <f t="shared" si="3"/>
        <v>124684.1</v>
      </c>
    </row>
    <row r="102" spans="2:21" ht="15.6">
      <c r="B102" s="15"/>
      <c r="C102" s="58" t="s">
        <v>106</v>
      </c>
      <c r="D102" s="20"/>
      <c r="E102" s="20"/>
      <c r="F102" s="20"/>
      <c r="G102" s="20"/>
      <c r="H102" s="20"/>
      <c r="I102" s="20">
        <v>920</v>
      </c>
      <c r="J102" s="20"/>
      <c r="K102" s="20">
        <v>300</v>
      </c>
      <c r="L102" s="20">
        <v>3780</v>
      </c>
      <c r="M102" s="20">
        <v>860</v>
      </c>
      <c r="N102" s="20"/>
      <c r="O102" s="20"/>
      <c r="P102" s="20"/>
      <c r="Q102" s="20"/>
      <c r="R102" s="20"/>
      <c r="S102" s="20"/>
      <c r="T102" s="32">
        <f t="shared" si="2"/>
        <v>5860</v>
      </c>
      <c r="U102" s="26">
        <f t="shared" si="3"/>
        <v>130544.1</v>
      </c>
    </row>
    <row r="103" spans="2:21" ht="15.6">
      <c r="B103" s="15"/>
      <c r="C103" s="58" t="s">
        <v>107</v>
      </c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32">
        <f t="shared" si="2"/>
        <v>0</v>
      </c>
      <c r="U103" s="26">
        <f t="shared" si="3"/>
        <v>130544.1</v>
      </c>
    </row>
    <row r="104" spans="2:21" ht="15.6">
      <c r="B104" s="15">
        <v>48</v>
      </c>
      <c r="C104" s="58" t="s">
        <v>108</v>
      </c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32">
        <f t="shared" si="2"/>
        <v>0</v>
      </c>
      <c r="U104" s="26">
        <f t="shared" si="3"/>
        <v>130544.1</v>
      </c>
    </row>
    <row r="105" spans="2:21" ht="16.2" thickBot="1">
      <c r="B105" s="21"/>
      <c r="C105" s="60" t="s">
        <v>109</v>
      </c>
      <c r="D105" s="22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33">
        <f t="shared" si="2"/>
        <v>0</v>
      </c>
      <c r="U105" s="28">
        <f t="shared" si="3"/>
        <v>130544.1</v>
      </c>
    </row>
    <row r="106" spans="2:21" ht="15.6">
      <c r="B106" s="10"/>
      <c r="C106" s="59" t="s">
        <v>110</v>
      </c>
      <c r="D106" s="12"/>
      <c r="E106" s="12">
        <f>180+400+280</f>
        <v>860</v>
      </c>
      <c r="F106" s="12">
        <v>1100</v>
      </c>
      <c r="G106" s="12"/>
      <c r="H106" s="12"/>
      <c r="I106" s="12">
        <v>5060</v>
      </c>
      <c r="J106" s="12"/>
      <c r="K106" s="12"/>
      <c r="L106" s="12">
        <f>460+1440</f>
        <v>1900</v>
      </c>
      <c r="M106" s="12"/>
      <c r="N106" s="12">
        <f>2560+440</f>
        <v>3000</v>
      </c>
      <c r="O106" s="12">
        <v>13820</v>
      </c>
      <c r="P106" s="12">
        <v>6060</v>
      </c>
      <c r="Q106" s="12"/>
      <c r="R106" s="12"/>
      <c r="S106" s="12">
        <v>200</v>
      </c>
      <c r="T106" s="30">
        <f t="shared" si="2"/>
        <v>32000</v>
      </c>
      <c r="U106" s="31">
        <f t="shared" si="3"/>
        <v>162544.1</v>
      </c>
    </row>
    <row r="107" spans="2:21" ht="15.6">
      <c r="B107" s="15"/>
      <c r="C107" s="58" t="s">
        <v>111</v>
      </c>
      <c r="D107" s="20"/>
      <c r="E107" s="20"/>
      <c r="F107" s="20">
        <v>14050</v>
      </c>
      <c r="G107" s="20"/>
      <c r="H107" s="20"/>
      <c r="I107" s="20"/>
      <c r="J107" s="20"/>
      <c r="K107" s="20"/>
      <c r="L107" s="20"/>
      <c r="M107" s="20"/>
      <c r="N107" s="20"/>
      <c r="O107" s="20">
        <v>4600</v>
      </c>
      <c r="P107" s="20">
        <v>6460</v>
      </c>
      <c r="Q107" s="20"/>
      <c r="R107" s="20"/>
      <c r="S107" s="20">
        <v>800</v>
      </c>
      <c r="T107" s="32">
        <f t="shared" si="2"/>
        <v>25910</v>
      </c>
      <c r="U107" s="26">
        <f t="shared" si="3"/>
        <v>188454.1</v>
      </c>
    </row>
    <row r="108" spans="2:21" ht="15.6">
      <c r="B108" s="15"/>
      <c r="C108" s="58" t="s">
        <v>112</v>
      </c>
      <c r="D108" s="20"/>
      <c r="E108" s="20"/>
      <c r="F108" s="20"/>
      <c r="G108" s="20"/>
      <c r="H108" s="20"/>
      <c r="I108" s="20"/>
      <c r="J108" s="20"/>
      <c r="K108" s="20"/>
      <c r="L108" s="20">
        <v>11160</v>
      </c>
      <c r="M108" s="20"/>
      <c r="N108" s="20">
        <v>13080</v>
      </c>
      <c r="O108" s="20"/>
      <c r="P108" s="20">
        <v>680</v>
      </c>
      <c r="Q108" s="20"/>
      <c r="R108" s="20"/>
      <c r="S108" s="20">
        <v>100</v>
      </c>
      <c r="T108" s="32">
        <f t="shared" si="2"/>
        <v>25020</v>
      </c>
      <c r="U108" s="26">
        <f t="shared" si="3"/>
        <v>213474.1</v>
      </c>
    </row>
    <row r="109" spans="2:21" ht="15.6">
      <c r="B109" s="15"/>
      <c r="C109" s="58" t="s">
        <v>113</v>
      </c>
      <c r="D109" s="20"/>
      <c r="E109" s="20">
        <v>310</v>
      </c>
      <c r="F109" s="20">
        <v>40</v>
      </c>
      <c r="G109" s="20">
        <v>120</v>
      </c>
      <c r="H109" s="20"/>
      <c r="I109" s="20"/>
      <c r="J109" s="20"/>
      <c r="K109" s="20"/>
      <c r="L109" s="20">
        <f>4100+11140</f>
        <v>15240</v>
      </c>
      <c r="M109" s="20"/>
      <c r="N109" s="20">
        <v>7580</v>
      </c>
      <c r="O109" s="20"/>
      <c r="P109" s="20"/>
      <c r="Q109" s="20">
        <v>180</v>
      </c>
      <c r="R109" s="20">
        <v>60</v>
      </c>
      <c r="S109" s="20"/>
      <c r="T109" s="32">
        <f t="shared" si="2"/>
        <v>23530</v>
      </c>
      <c r="U109" s="26">
        <f t="shared" si="3"/>
        <v>237004.1</v>
      </c>
    </row>
    <row r="110" spans="2:21" ht="15.6">
      <c r="B110" s="15"/>
      <c r="C110" s="58" t="s">
        <v>114</v>
      </c>
      <c r="D110" s="20"/>
      <c r="E110" s="20"/>
      <c r="F110" s="20"/>
      <c r="G110" s="20">
        <v>320</v>
      </c>
      <c r="H110" s="20"/>
      <c r="I110" s="20">
        <v>12980</v>
      </c>
      <c r="J110" s="20"/>
      <c r="K110" s="20"/>
      <c r="L110" s="20">
        <v>15740</v>
      </c>
      <c r="M110" s="20"/>
      <c r="N110" s="20"/>
      <c r="O110" s="20"/>
      <c r="P110" s="20"/>
      <c r="Q110" s="20"/>
      <c r="R110" s="20"/>
      <c r="S110" s="20"/>
      <c r="T110" s="32">
        <f t="shared" si="2"/>
        <v>29040</v>
      </c>
      <c r="U110" s="26">
        <f t="shared" si="3"/>
        <v>266044.09999999998</v>
      </c>
    </row>
    <row r="111" spans="2:21" ht="15.6">
      <c r="B111" s="15">
        <v>49</v>
      </c>
      <c r="C111" s="58" t="s">
        <v>115</v>
      </c>
      <c r="D111" s="20"/>
      <c r="E111" s="20"/>
      <c r="F111" s="20"/>
      <c r="G111" s="20">
        <f>3600+60</f>
        <v>3660</v>
      </c>
      <c r="H111" s="20"/>
      <c r="I111" s="20">
        <f>4600</f>
        <v>4600</v>
      </c>
      <c r="J111" s="20">
        <v>3980</v>
      </c>
      <c r="K111" s="20"/>
      <c r="L111" s="20">
        <v>4000</v>
      </c>
      <c r="M111" s="20">
        <v>0</v>
      </c>
      <c r="N111" s="20"/>
      <c r="O111" s="20"/>
      <c r="P111" s="20"/>
      <c r="Q111" s="20"/>
      <c r="R111" s="20"/>
      <c r="S111" s="20"/>
      <c r="T111" s="32">
        <f t="shared" si="2"/>
        <v>16240</v>
      </c>
      <c r="U111" s="26">
        <f t="shared" si="3"/>
        <v>282284.09999999998</v>
      </c>
    </row>
    <row r="112" spans="2:21" ht="16.2" thickBot="1">
      <c r="B112" s="21"/>
      <c r="C112" s="60" t="s">
        <v>116</v>
      </c>
      <c r="D112" s="22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33">
        <f t="shared" si="2"/>
        <v>0</v>
      </c>
      <c r="U112" s="28">
        <f t="shared" si="3"/>
        <v>282284.09999999998</v>
      </c>
    </row>
    <row r="113" spans="2:21" ht="15.6">
      <c r="B113" s="10"/>
      <c r="C113" s="59" t="s">
        <v>117</v>
      </c>
      <c r="D113" s="12"/>
      <c r="E113" s="12"/>
      <c r="F113" s="12"/>
      <c r="G113" s="12">
        <v>4500</v>
      </c>
      <c r="H113" s="12">
        <v>8180</v>
      </c>
      <c r="I113" s="12"/>
      <c r="J113" s="12">
        <v>14880</v>
      </c>
      <c r="K113" s="12">
        <v>160</v>
      </c>
      <c r="L113" s="12"/>
      <c r="M113" s="12">
        <v>240</v>
      </c>
      <c r="N113" s="12"/>
      <c r="O113" s="12"/>
      <c r="P113" s="12"/>
      <c r="Q113" s="12">
        <v>40</v>
      </c>
      <c r="R113" s="12"/>
      <c r="S113" s="12"/>
      <c r="T113" s="30">
        <f t="shared" si="2"/>
        <v>28000</v>
      </c>
      <c r="U113" s="31">
        <f t="shared" si="3"/>
        <v>310284.09999999998</v>
      </c>
    </row>
    <row r="114" spans="2:21" ht="15.6">
      <c r="B114" s="25"/>
      <c r="C114" s="61" t="s">
        <v>118</v>
      </c>
      <c r="D114" s="20">
        <v>9270</v>
      </c>
      <c r="E114" s="20"/>
      <c r="F114" s="20"/>
      <c r="G114" s="20"/>
      <c r="H114" s="20">
        <v>5060</v>
      </c>
      <c r="I114" s="20"/>
      <c r="J114" s="20">
        <v>5800</v>
      </c>
      <c r="K114" s="20">
        <v>180</v>
      </c>
      <c r="L114" s="20"/>
      <c r="M114" s="20"/>
      <c r="N114" s="20"/>
      <c r="O114" s="20"/>
      <c r="P114" s="20"/>
      <c r="Q114" s="20"/>
      <c r="R114" s="20"/>
      <c r="S114" s="20"/>
      <c r="T114" s="32">
        <f t="shared" si="2"/>
        <v>20310</v>
      </c>
      <c r="U114" s="26">
        <f t="shared" si="3"/>
        <v>330594.09999999998</v>
      </c>
    </row>
    <row r="115" spans="2:21" ht="15.6">
      <c r="B115" s="25"/>
      <c r="C115" s="61" t="s">
        <v>119</v>
      </c>
      <c r="D115" s="20">
        <f>16020+9460</f>
        <v>25480</v>
      </c>
      <c r="E115" s="20">
        <f>20+14</f>
        <v>34</v>
      </c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32">
        <f t="shared" si="2"/>
        <v>25514</v>
      </c>
      <c r="U115" s="26">
        <f t="shared" si="3"/>
        <v>356108.1</v>
      </c>
    </row>
    <row r="116" spans="2:21" ht="15.6">
      <c r="B116" s="25"/>
      <c r="C116" s="61" t="s">
        <v>120</v>
      </c>
      <c r="D116" s="20">
        <v>28440</v>
      </c>
      <c r="E116" s="20">
        <v>0</v>
      </c>
      <c r="F116" s="20"/>
      <c r="G116" s="20">
        <v>20</v>
      </c>
      <c r="H116" s="20">
        <v>20</v>
      </c>
      <c r="I116" s="20"/>
      <c r="J116" s="20"/>
      <c r="K116" s="20"/>
      <c r="L116" s="20"/>
      <c r="M116" s="20"/>
      <c r="N116" s="20"/>
      <c r="O116" s="20">
        <v>280</v>
      </c>
      <c r="P116" s="20">
        <v>40</v>
      </c>
      <c r="Q116" s="20"/>
      <c r="R116" s="20"/>
      <c r="S116" s="20"/>
      <c r="T116" s="32">
        <f t="shared" si="2"/>
        <v>28800</v>
      </c>
      <c r="U116" s="26">
        <f t="shared" si="3"/>
        <v>384908.1</v>
      </c>
    </row>
    <row r="117" spans="2:21" ht="15.6">
      <c r="B117" s="25"/>
      <c r="C117" s="61" t="s">
        <v>121</v>
      </c>
      <c r="D117" s="20">
        <v>31440</v>
      </c>
      <c r="E117" s="20">
        <v>20</v>
      </c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32">
        <f t="shared" si="2"/>
        <v>31460</v>
      </c>
      <c r="U117" s="26">
        <f t="shared" si="3"/>
        <v>416368.1</v>
      </c>
    </row>
    <row r="118" spans="2:21" ht="15.6">
      <c r="B118" s="25">
        <v>50</v>
      </c>
      <c r="C118" s="61" t="s">
        <v>122</v>
      </c>
      <c r="D118" s="20">
        <v>20180</v>
      </c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32">
        <f t="shared" si="2"/>
        <v>20180</v>
      </c>
      <c r="U118" s="26">
        <f t="shared" si="3"/>
        <v>436548.1</v>
      </c>
    </row>
    <row r="119" spans="2:21" ht="16.2" thickBot="1">
      <c r="B119" s="27"/>
      <c r="C119" s="62" t="s">
        <v>123</v>
      </c>
      <c r="D119" s="22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33">
        <f t="shared" si="2"/>
        <v>0</v>
      </c>
      <c r="U119" s="28">
        <f t="shared" si="3"/>
        <v>436548.1</v>
      </c>
    </row>
    <row r="120" spans="2:21" ht="15.6">
      <c r="B120" s="29"/>
      <c r="C120" s="63" t="s">
        <v>124</v>
      </c>
      <c r="D120" s="12">
        <v>17707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30">
        <f t="shared" si="2"/>
        <v>17707</v>
      </c>
      <c r="U120" s="31">
        <f t="shared" si="3"/>
        <v>454255.1</v>
      </c>
    </row>
    <row r="121" spans="2:21" ht="15.6">
      <c r="B121" s="25"/>
      <c r="C121" s="61" t="s">
        <v>125</v>
      </c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2">
        <f t="shared" si="2"/>
        <v>0</v>
      </c>
      <c r="U121" s="26">
        <f t="shared" si="3"/>
        <v>454255.1</v>
      </c>
    </row>
    <row r="122" spans="2:21" ht="15.6">
      <c r="B122" s="25"/>
      <c r="C122" s="61" t="s">
        <v>126</v>
      </c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2">
        <f t="shared" si="2"/>
        <v>0</v>
      </c>
      <c r="U122" s="26">
        <f t="shared" si="3"/>
        <v>454255.1</v>
      </c>
    </row>
    <row r="123" spans="2:21" ht="15.6">
      <c r="B123" s="25"/>
      <c r="C123" s="61" t="s">
        <v>127</v>
      </c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2">
        <f t="shared" si="2"/>
        <v>0</v>
      </c>
      <c r="U123" s="26">
        <f t="shared" si="3"/>
        <v>454255.1</v>
      </c>
    </row>
    <row r="124" spans="2:21" ht="15.6">
      <c r="B124" s="25"/>
      <c r="C124" s="61" t="s">
        <v>128</v>
      </c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2">
        <f t="shared" si="2"/>
        <v>0</v>
      </c>
      <c r="U124" s="26">
        <f t="shared" si="3"/>
        <v>454255.1</v>
      </c>
    </row>
    <row r="125" spans="2:21" ht="15.6">
      <c r="B125" s="25"/>
      <c r="C125" s="61" t="s">
        <v>129</v>
      </c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2">
        <f t="shared" si="2"/>
        <v>0</v>
      </c>
      <c r="U125" s="26">
        <f t="shared" si="3"/>
        <v>454255.1</v>
      </c>
    </row>
    <row r="126" spans="2:21" ht="16.2" thickBot="1">
      <c r="B126" s="35" t="str">
        <f t="shared" ref="B104:B127" si="4">IF($A126=0," ",$A126)</f>
        <v xml:space="preserve"> </v>
      </c>
      <c r="C126" s="36" t="str">
        <f t="shared" ref="C69:C127" si="5">+$B126</f>
        <v xml:space="preserve"> </v>
      </c>
      <c r="D126" s="37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2">
        <f t="shared" si="2"/>
        <v>0</v>
      </c>
      <c r="U126" s="39">
        <f t="shared" si="3"/>
        <v>454255.1</v>
      </c>
    </row>
    <row r="127" spans="2:21" ht="15.6">
      <c r="B127" s="40" t="str">
        <f t="shared" si="4"/>
        <v xml:space="preserve"> </v>
      </c>
      <c r="C127" s="41" t="str">
        <f t="shared" si="5"/>
        <v xml:space="preserve"> </v>
      </c>
      <c r="D127" s="42">
        <f>+D3</f>
        <v>7</v>
      </c>
      <c r="E127" s="42">
        <f t="shared" ref="E127:S127" si="6">+E3</f>
        <v>8</v>
      </c>
      <c r="F127" s="42">
        <f t="shared" si="6"/>
        <v>9</v>
      </c>
      <c r="G127" s="42">
        <f t="shared" si="6"/>
        <v>10</v>
      </c>
      <c r="H127" s="42">
        <f t="shared" si="6"/>
        <v>11</v>
      </c>
      <c r="I127" s="42">
        <f t="shared" si="6"/>
        <v>12</v>
      </c>
      <c r="J127" s="42">
        <f t="shared" si="6"/>
        <v>13</v>
      </c>
      <c r="K127" s="42">
        <f t="shared" si="6"/>
        <v>14</v>
      </c>
      <c r="L127" s="42">
        <f t="shared" si="6"/>
        <v>15</v>
      </c>
      <c r="M127" s="42">
        <f t="shared" si="6"/>
        <v>16</v>
      </c>
      <c r="N127" s="42">
        <f t="shared" si="6"/>
        <v>17</v>
      </c>
      <c r="O127" s="42">
        <f t="shared" si="6"/>
        <v>18</v>
      </c>
      <c r="P127" s="42">
        <f t="shared" si="6"/>
        <v>19</v>
      </c>
      <c r="Q127" s="42">
        <f t="shared" si="6"/>
        <v>22</v>
      </c>
      <c r="R127" s="42">
        <f t="shared" si="6"/>
        <v>23</v>
      </c>
      <c r="S127" s="42">
        <f t="shared" si="6"/>
        <v>34</v>
      </c>
      <c r="T127" s="43">
        <f>SUM(T4:T126)</f>
        <v>454255.1</v>
      </c>
      <c r="U127" s="43" t="s">
        <v>3</v>
      </c>
    </row>
    <row r="128" spans="2:21" ht="15.6">
      <c r="B128" s="44"/>
      <c r="C128" s="45" t="s">
        <v>4</v>
      </c>
      <c r="D128" s="46">
        <f t="shared" ref="D128:S128" si="7">SUM(D4:D127)</f>
        <v>136172.9</v>
      </c>
      <c r="E128" s="46">
        <f t="shared" si="7"/>
        <v>5867.7000000000007</v>
      </c>
      <c r="F128" s="46">
        <f t="shared" si="7"/>
        <v>18918.3</v>
      </c>
      <c r="G128" s="46">
        <f t="shared" si="7"/>
        <v>22723.200000000001</v>
      </c>
      <c r="H128" s="46">
        <f t="shared" si="7"/>
        <v>14411</v>
      </c>
      <c r="I128" s="46">
        <f t="shared" si="7"/>
        <v>23632</v>
      </c>
      <c r="J128" s="46">
        <f t="shared" si="7"/>
        <v>28380.3</v>
      </c>
      <c r="K128" s="46">
        <f t="shared" si="7"/>
        <v>12452.7</v>
      </c>
      <c r="L128" s="46">
        <f t="shared" si="7"/>
        <v>55935.199999999997</v>
      </c>
      <c r="M128" s="46">
        <f t="shared" si="7"/>
        <v>16363.9</v>
      </c>
      <c r="N128" s="46">
        <f t="shared" si="7"/>
        <v>43108.800000000003</v>
      </c>
      <c r="O128" s="46">
        <f t="shared" si="7"/>
        <v>35883.199999999997</v>
      </c>
      <c r="P128" s="46">
        <f t="shared" si="7"/>
        <v>23909.3</v>
      </c>
      <c r="Q128" s="46">
        <f t="shared" si="7"/>
        <v>7150.6</v>
      </c>
      <c r="R128" s="46">
        <f t="shared" si="7"/>
        <v>6133</v>
      </c>
      <c r="S128" s="46">
        <f t="shared" si="7"/>
        <v>3461</v>
      </c>
      <c r="T128" s="47">
        <f>SUM(D128:S128)</f>
        <v>454503.1</v>
      </c>
      <c r="U128" s="48"/>
    </row>
    <row r="129" spans="2:21" ht="15.6">
      <c r="B129" s="49"/>
      <c r="C129" s="50" t="s">
        <v>5</v>
      </c>
      <c r="D129" s="50">
        <v>2132</v>
      </c>
      <c r="E129" s="50">
        <v>300</v>
      </c>
      <c r="F129" s="50">
        <v>383</v>
      </c>
      <c r="G129" s="50">
        <v>1024</v>
      </c>
      <c r="H129" s="50">
        <v>434</v>
      </c>
      <c r="I129" s="50">
        <v>1064</v>
      </c>
      <c r="J129" s="50">
        <v>720</v>
      </c>
      <c r="K129" s="50">
        <v>1064</v>
      </c>
      <c r="L129" s="50">
        <v>944</v>
      </c>
      <c r="M129" s="50">
        <v>1064</v>
      </c>
      <c r="N129" s="50">
        <v>1168</v>
      </c>
      <c r="O129" s="50">
        <v>770</v>
      </c>
      <c r="P129" s="50">
        <v>716</v>
      </c>
      <c r="Q129" s="50">
        <v>210</v>
      </c>
      <c r="R129" s="50">
        <v>310</v>
      </c>
      <c r="S129" s="50">
        <v>210</v>
      </c>
      <c r="T129" s="46">
        <f>SUM(D129:S129)</f>
        <v>12513</v>
      </c>
      <c r="U129" s="51"/>
    </row>
    <row r="130" spans="2:21" ht="15.6">
      <c r="B130" s="52"/>
      <c r="C130" s="53" t="s">
        <v>6</v>
      </c>
      <c r="D130" s="54">
        <f t="shared" ref="D130:S130" si="8">D128/D129</f>
        <v>63.870966228893053</v>
      </c>
      <c r="E130" s="54">
        <f t="shared" si="8"/>
        <v>19.559000000000001</v>
      </c>
      <c r="F130" s="54">
        <f t="shared" si="8"/>
        <v>49.395039164490861</v>
      </c>
      <c r="G130" s="55">
        <f t="shared" si="8"/>
        <v>22.190625000000001</v>
      </c>
      <c r="H130" s="54">
        <f t="shared" si="8"/>
        <v>33.205069124423964</v>
      </c>
      <c r="I130" s="55">
        <f t="shared" si="8"/>
        <v>22.210526315789473</v>
      </c>
      <c r="J130" s="55">
        <f t="shared" si="8"/>
        <v>39.417083333333331</v>
      </c>
      <c r="K130" s="55">
        <f t="shared" si="8"/>
        <v>11.703665413533836</v>
      </c>
      <c r="L130" s="55">
        <f t="shared" si="8"/>
        <v>59.253389830508475</v>
      </c>
      <c r="M130" s="54">
        <f t="shared" si="8"/>
        <v>15.379605263157895</v>
      </c>
      <c r="N130" s="55">
        <f t="shared" si="8"/>
        <v>36.908219178082192</v>
      </c>
      <c r="O130" s="54">
        <f t="shared" si="8"/>
        <v>46.601558441558439</v>
      </c>
      <c r="P130" s="55">
        <f t="shared" si="8"/>
        <v>33.392877094972064</v>
      </c>
      <c r="Q130" s="55">
        <f t="shared" si="8"/>
        <v>34.050476190476189</v>
      </c>
      <c r="R130" s="55">
        <f t="shared" si="8"/>
        <v>19.783870967741937</v>
      </c>
      <c r="S130" s="55">
        <f t="shared" si="8"/>
        <v>16.480952380952381</v>
      </c>
      <c r="T130" s="56">
        <f>T128/T129</f>
        <v>36.322472628466393</v>
      </c>
      <c r="U130" s="5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D314-254F-4FC4-80DB-B5DC9DFCD7FC}">
  <dimension ref="B2:U130"/>
  <sheetViews>
    <sheetView workbookViewId="0">
      <selection activeCell="B2" sqref="B2"/>
    </sheetView>
  </sheetViews>
  <sheetFormatPr defaultRowHeight="14.4"/>
  <sheetData>
    <row r="2" spans="2:21" ht="16.2" thickBo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  <c r="S2" s="3"/>
      <c r="T2" s="4"/>
      <c r="U2" s="4"/>
    </row>
    <row r="3" spans="2:21" ht="16.2" thickBot="1">
      <c r="B3" t="s">
        <v>1</v>
      </c>
      <c r="C3" s="64">
        <v>2024</v>
      </c>
      <c r="D3" s="8">
        <v>7</v>
      </c>
      <c r="E3" s="8">
        <v>8</v>
      </c>
      <c r="F3" s="8">
        <v>9</v>
      </c>
      <c r="G3" s="8">
        <v>10</v>
      </c>
      <c r="H3" s="8">
        <v>11</v>
      </c>
      <c r="I3" s="8">
        <v>12</v>
      </c>
      <c r="J3" s="8">
        <v>13</v>
      </c>
      <c r="K3" s="8">
        <v>14</v>
      </c>
      <c r="L3" s="8">
        <v>15</v>
      </c>
      <c r="M3" s="8">
        <v>16</v>
      </c>
      <c r="N3" s="8">
        <v>17</v>
      </c>
      <c r="O3" s="8">
        <v>18</v>
      </c>
      <c r="P3" s="8">
        <v>19</v>
      </c>
      <c r="Q3" s="8">
        <v>22</v>
      </c>
      <c r="R3" s="8">
        <v>23</v>
      </c>
      <c r="S3" s="8">
        <v>24</v>
      </c>
      <c r="T3" s="9" t="s">
        <v>2</v>
      </c>
      <c r="U3" s="9" t="s">
        <v>3</v>
      </c>
    </row>
    <row r="4" spans="2:21" ht="15.6">
      <c r="B4" s="25"/>
      <c r="C4" s="61" t="s">
        <v>8</v>
      </c>
      <c r="D4" s="65"/>
      <c r="E4" s="66"/>
      <c r="F4" s="66"/>
      <c r="G4" s="66"/>
      <c r="H4" s="66"/>
      <c r="I4" s="66"/>
      <c r="J4" s="66"/>
      <c r="K4" s="66">
        <v>70</v>
      </c>
      <c r="L4" s="66"/>
      <c r="M4" s="66"/>
      <c r="N4" s="66"/>
      <c r="O4" s="66"/>
      <c r="P4" s="66"/>
      <c r="Q4" s="66"/>
      <c r="R4" s="66"/>
      <c r="S4" s="66"/>
      <c r="T4" s="30">
        <f>SUM(D4:S4)</f>
        <v>70</v>
      </c>
      <c r="U4" s="14">
        <f>+T4</f>
        <v>70</v>
      </c>
    </row>
    <row r="5" spans="2:21" ht="15.6">
      <c r="B5" s="25"/>
      <c r="C5" s="61" t="s">
        <v>9</v>
      </c>
      <c r="D5" s="67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32"/>
      <c r="U5" s="19"/>
    </row>
    <row r="6" spans="2:21" ht="15.6">
      <c r="B6" s="25"/>
      <c r="C6" s="61" t="s">
        <v>10</v>
      </c>
      <c r="D6" s="67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32"/>
      <c r="U6" s="19"/>
    </row>
    <row r="7" spans="2:21" ht="16.2" thickBot="1">
      <c r="B7" s="25"/>
      <c r="C7" s="61" t="s">
        <v>11</v>
      </c>
      <c r="D7" s="67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32"/>
      <c r="U7" s="19"/>
    </row>
    <row r="8" spans="2:21" ht="15.6">
      <c r="B8" s="29"/>
      <c r="C8" s="63" t="s">
        <v>12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30"/>
      <c r="U8" s="13"/>
    </row>
    <row r="9" spans="2:21" ht="15.6">
      <c r="B9" s="25"/>
      <c r="C9" s="61" t="s">
        <v>13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2"/>
      <c r="U9" s="18"/>
    </row>
    <row r="10" spans="2:21" ht="15.6">
      <c r="B10" s="25"/>
      <c r="C10" s="61" t="s">
        <v>14</v>
      </c>
      <c r="D10" s="34"/>
      <c r="E10" s="34"/>
      <c r="F10" s="34"/>
      <c r="G10" s="34"/>
      <c r="H10" s="34"/>
      <c r="I10" s="34"/>
      <c r="J10" s="34"/>
      <c r="K10" s="34">
        <v>73.8</v>
      </c>
      <c r="L10" s="34"/>
      <c r="M10" s="34">
        <v>111.5</v>
      </c>
      <c r="N10" s="34"/>
      <c r="O10" s="34"/>
      <c r="P10" s="34"/>
      <c r="Q10" s="34"/>
      <c r="R10" s="34"/>
      <c r="S10" s="34"/>
      <c r="T10" s="32">
        <f t="shared" ref="T10:T103" si="0">SUM(D10:S10)</f>
        <v>185.3</v>
      </c>
      <c r="U10" s="18">
        <f>+T10+U4</f>
        <v>255.3</v>
      </c>
    </row>
    <row r="11" spans="2:21" ht="15.6">
      <c r="B11" s="25"/>
      <c r="C11" s="61" t="s">
        <v>15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2"/>
      <c r="U11" s="18"/>
    </row>
    <row r="12" spans="2:21" ht="15.6">
      <c r="B12" s="25"/>
      <c r="C12" s="61" t="s">
        <v>16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2"/>
      <c r="U12" s="18"/>
    </row>
    <row r="13" spans="2:21" ht="15.6">
      <c r="B13" s="25"/>
      <c r="C13" s="61" t="s">
        <v>17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2"/>
      <c r="U13" s="18"/>
    </row>
    <row r="14" spans="2:21" ht="16.2" thickBot="1">
      <c r="B14" s="27"/>
      <c r="C14" s="62" t="s">
        <v>18</v>
      </c>
      <c r="D14" s="69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33"/>
      <c r="U14" s="24"/>
    </row>
    <row r="15" spans="2:21" ht="15.6">
      <c r="B15" s="29"/>
      <c r="C15" s="63" t="s">
        <v>19</v>
      </c>
      <c r="D15" s="66"/>
      <c r="E15" s="66"/>
      <c r="F15" s="66"/>
      <c r="G15" s="66"/>
      <c r="H15" s="66"/>
      <c r="I15" s="66"/>
      <c r="J15" s="66"/>
      <c r="K15" s="66">
        <v>20</v>
      </c>
      <c r="L15" s="66"/>
      <c r="M15" s="66">
        <v>20</v>
      </c>
      <c r="N15" s="66"/>
      <c r="O15" s="66"/>
      <c r="P15" s="66"/>
      <c r="Q15" s="66"/>
      <c r="R15" s="66"/>
      <c r="S15" s="66"/>
      <c r="T15" s="30">
        <f t="shared" si="0"/>
        <v>40</v>
      </c>
      <c r="U15" s="13">
        <f>+T15+U10</f>
        <v>295.3</v>
      </c>
    </row>
    <row r="16" spans="2:21" ht="15.6">
      <c r="B16" s="25"/>
      <c r="C16" s="61" t="s">
        <v>20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2"/>
      <c r="U16" s="18"/>
    </row>
    <row r="17" spans="2:21" ht="15.6">
      <c r="B17" s="25"/>
      <c r="C17" s="61" t="s">
        <v>21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2"/>
      <c r="U17" s="18"/>
    </row>
    <row r="18" spans="2:21" ht="15.6">
      <c r="B18" s="25"/>
      <c r="C18" s="61" t="s">
        <v>22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2"/>
      <c r="U18" s="18"/>
    </row>
    <row r="19" spans="2:21" ht="15.6">
      <c r="B19" s="25"/>
      <c r="C19" s="61" t="s">
        <v>23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2"/>
      <c r="U19" s="18"/>
    </row>
    <row r="20" spans="2:21" ht="15.6">
      <c r="B20" s="25"/>
      <c r="C20" s="61" t="s">
        <v>24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2"/>
      <c r="U20" s="18"/>
    </row>
    <row r="21" spans="2:21" ht="16.2" thickBot="1">
      <c r="B21" s="27"/>
      <c r="C21" s="62" t="s">
        <v>25</v>
      </c>
      <c r="D21" s="69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33"/>
      <c r="U21" s="24"/>
    </row>
    <row r="22" spans="2:21" ht="15.6">
      <c r="B22" s="29">
        <v>39</v>
      </c>
      <c r="C22" s="63" t="s">
        <v>26</v>
      </c>
      <c r="D22" s="66"/>
      <c r="E22" s="66"/>
      <c r="F22" s="66"/>
      <c r="G22" s="66"/>
      <c r="H22" s="66"/>
      <c r="I22" s="66"/>
      <c r="J22" s="66"/>
      <c r="K22" s="66"/>
      <c r="L22" s="66"/>
      <c r="M22" s="66">
        <v>755</v>
      </c>
      <c r="N22" s="66"/>
      <c r="O22" s="66"/>
      <c r="P22" s="66"/>
      <c r="Q22" s="66"/>
      <c r="R22" s="66"/>
      <c r="S22" s="66"/>
      <c r="T22" s="30">
        <f t="shared" si="0"/>
        <v>755</v>
      </c>
      <c r="U22" s="13">
        <f>+T22+U15</f>
        <v>1050.3</v>
      </c>
    </row>
    <row r="23" spans="2:21" ht="15.6">
      <c r="B23" s="25"/>
      <c r="C23" s="61" t="s">
        <v>27</v>
      </c>
      <c r="D23" s="34"/>
      <c r="E23" s="34"/>
      <c r="F23" s="34"/>
      <c r="G23" s="34"/>
      <c r="H23" s="34"/>
      <c r="I23" s="34"/>
      <c r="J23" s="34"/>
      <c r="K23" s="34">
        <v>100</v>
      </c>
      <c r="L23" s="34"/>
      <c r="M23" s="34">
        <v>100</v>
      </c>
      <c r="N23" s="34"/>
      <c r="O23" s="34"/>
      <c r="P23" s="34"/>
      <c r="Q23" s="34"/>
      <c r="R23" s="34"/>
      <c r="S23" s="34"/>
      <c r="T23" s="32">
        <f t="shared" si="0"/>
        <v>200</v>
      </c>
      <c r="U23" s="18">
        <f t="shared" ref="U23:U86" si="1">+T23+U22</f>
        <v>1250.3</v>
      </c>
    </row>
    <row r="24" spans="2:21" ht="15.6">
      <c r="B24" s="25"/>
      <c r="C24" s="61" t="s">
        <v>28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2"/>
      <c r="U24" s="18"/>
    </row>
    <row r="25" spans="2:21" ht="15.6">
      <c r="B25" s="25"/>
      <c r="C25" s="61" t="s">
        <v>29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2"/>
      <c r="U25" s="18"/>
    </row>
    <row r="26" spans="2:21" ht="15.6">
      <c r="B26" s="25"/>
      <c r="C26" s="61" t="s">
        <v>30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2"/>
      <c r="U26" s="18"/>
    </row>
    <row r="27" spans="2:21" ht="15.6">
      <c r="B27" s="25"/>
      <c r="C27" s="61" t="s">
        <v>31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2"/>
      <c r="U27" s="18"/>
    </row>
    <row r="28" spans="2:21" ht="16.2" thickBot="1">
      <c r="B28" s="27"/>
      <c r="C28" s="62" t="s">
        <v>32</v>
      </c>
      <c r="D28" s="69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33">
        <f t="shared" si="0"/>
        <v>0</v>
      </c>
      <c r="U28" s="24">
        <f>+T28+U23</f>
        <v>1250.3</v>
      </c>
    </row>
    <row r="29" spans="2:21" ht="15.6">
      <c r="B29" s="29"/>
      <c r="C29" s="63" t="s">
        <v>33</v>
      </c>
      <c r="D29" s="66"/>
      <c r="E29" s="66"/>
      <c r="F29" s="66"/>
      <c r="G29" s="66"/>
      <c r="H29" s="66"/>
      <c r="I29" s="66"/>
      <c r="J29" s="66"/>
      <c r="K29" s="66">
        <v>15</v>
      </c>
      <c r="L29" s="66"/>
      <c r="M29" s="66">
        <v>540</v>
      </c>
      <c r="N29" s="66"/>
      <c r="O29" s="66"/>
      <c r="P29" s="66"/>
      <c r="Q29" s="66"/>
      <c r="R29" s="66"/>
      <c r="S29" s="66"/>
      <c r="T29" s="30">
        <f t="shared" si="0"/>
        <v>555</v>
      </c>
      <c r="U29" s="13">
        <f t="shared" si="1"/>
        <v>1805.3</v>
      </c>
    </row>
    <row r="30" spans="2:21" ht="15.6">
      <c r="B30" s="25"/>
      <c r="C30" s="61" t="s">
        <v>34</v>
      </c>
      <c r="D30" s="34"/>
      <c r="E30" s="34"/>
      <c r="F30" s="34"/>
      <c r="G30" s="34"/>
      <c r="H30" s="34"/>
      <c r="I30" s="34"/>
      <c r="J30" s="34"/>
      <c r="K30" s="34">
        <v>60</v>
      </c>
      <c r="L30" s="34">
        <v>8.4</v>
      </c>
      <c r="M30" s="34">
        <v>8.4</v>
      </c>
      <c r="N30" s="34"/>
      <c r="O30" s="34"/>
      <c r="P30" s="34"/>
      <c r="Q30" s="34"/>
      <c r="R30" s="34"/>
      <c r="S30" s="34"/>
      <c r="T30" s="32">
        <f t="shared" si="0"/>
        <v>76.800000000000011</v>
      </c>
      <c r="U30" s="18">
        <f t="shared" si="1"/>
        <v>1882.1</v>
      </c>
    </row>
    <row r="31" spans="2:21" ht="15.6">
      <c r="B31" s="25"/>
      <c r="C31" s="61" t="s">
        <v>35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2"/>
      <c r="U31" s="18"/>
    </row>
    <row r="32" spans="2:21" ht="15.6">
      <c r="B32" s="25"/>
      <c r="C32" s="61" t="s">
        <v>36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2"/>
      <c r="U32" s="18"/>
    </row>
    <row r="33" spans="2:21" ht="15.6">
      <c r="B33" s="25"/>
      <c r="C33" s="61" t="s">
        <v>37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2"/>
      <c r="U33" s="18"/>
    </row>
    <row r="34" spans="2:21" ht="15.6">
      <c r="B34" s="25"/>
      <c r="C34" s="61" t="s">
        <v>38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2"/>
      <c r="U34" s="18"/>
    </row>
    <row r="35" spans="2:21" ht="16.2" thickBot="1">
      <c r="B35" s="27"/>
      <c r="C35" s="62" t="s">
        <v>39</v>
      </c>
      <c r="D35" s="69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33"/>
      <c r="U35" s="24"/>
    </row>
    <row r="36" spans="2:21" ht="15.6">
      <c r="B36" s="29"/>
      <c r="C36" s="63" t="s">
        <v>40</v>
      </c>
      <c r="D36" s="66"/>
      <c r="E36" s="66"/>
      <c r="F36" s="66"/>
      <c r="G36" s="66"/>
      <c r="H36" s="66"/>
      <c r="I36" s="66"/>
      <c r="J36" s="66"/>
      <c r="K36" s="66"/>
      <c r="L36" s="66"/>
      <c r="M36" s="66">
        <v>220</v>
      </c>
      <c r="N36" s="66"/>
      <c r="O36" s="66"/>
      <c r="P36" s="66"/>
      <c r="Q36" s="66"/>
      <c r="R36" s="66"/>
      <c r="S36" s="66"/>
      <c r="T36" s="30">
        <f t="shared" si="0"/>
        <v>220</v>
      </c>
      <c r="U36" s="13">
        <f>+T36+U30</f>
        <v>2102.1</v>
      </c>
    </row>
    <row r="37" spans="2:21" ht="15.6">
      <c r="B37" s="25"/>
      <c r="C37" s="61" t="s">
        <v>41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2"/>
      <c r="U37" s="18"/>
    </row>
    <row r="38" spans="2:21" ht="15.6">
      <c r="B38" s="25"/>
      <c r="C38" s="61" t="s">
        <v>42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2"/>
      <c r="U38" s="18"/>
    </row>
    <row r="39" spans="2:21" ht="15.6">
      <c r="B39" s="25">
        <v>40</v>
      </c>
      <c r="C39" s="61" t="s">
        <v>43</v>
      </c>
      <c r="D39" s="34"/>
      <c r="E39" s="34"/>
      <c r="F39" s="34"/>
      <c r="G39" s="34"/>
      <c r="H39" s="34"/>
      <c r="I39" s="34"/>
      <c r="J39" s="34"/>
      <c r="K39" s="34"/>
      <c r="L39" s="34"/>
      <c r="M39" s="34">
        <v>350</v>
      </c>
      <c r="N39" s="34"/>
      <c r="O39" s="34"/>
      <c r="P39" s="34"/>
      <c r="Q39" s="34"/>
      <c r="R39" s="34"/>
      <c r="S39" s="34"/>
      <c r="T39" s="32">
        <f t="shared" si="0"/>
        <v>350</v>
      </c>
      <c r="U39" s="18">
        <f>+T39+U36</f>
        <v>2452.1</v>
      </c>
    </row>
    <row r="40" spans="2:21" ht="15.6">
      <c r="B40" s="25"/>
      <c r="C40" s="61" t="s">
        <v>44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2"/>
      <c r="U40" s="18"/>
    </row>
    <row r="41" spans="2:21" ht="15.6">
      <c r="B41" s="25"/>
      <c r="C41" s="61" t="s">
        <v>45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2"/>
      <c r="U41" s="18"/>
    </row>
    <row r="42" spans="2:21" ht="16.2" thickBot="1">
      <c r="B42" s="27"/>
      <c r="C42" s="62" t="s">
        <v>46</v>
      </c>
      <c r="D42" s="69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33"/>
      <c r="U42" s="24"/>
    </row>
    <row r="43" spans="2:21" ht="15.6">
      <c r="B43" s="29"/>
      <c r="C43" s="63" t="s">
        <v>47</v>
      </c>
      <c r="D43" s="66"/>
      <c r="E43" s="66"/>
      <c r="F43" s="66"/>
      <c r="G43" s="66"/>
      <c r="H43" s="66"/>
      <c r="I43" s="66"/>
      <c r="J43" s="66"/>
      <c r="K43" s="66">
        <v>180</v>
      </c>
      <c r="L43" s="66"/>
      <c r="M43" s="66">
        <v>360</v>
      </c>
      <c r="N43" s="66"/>
      <c r="O43" s="66"/>
      <c r="P43" s="66"/>
      <c r="Q43" s="66"/>
      <c r="R43" s="66"/>
      <c r="S43" s="66"/>
      <c r="T43" s="30">
        <f t="shared" si="0"/>
        <v>540</v>
      </c>
      <c r="U43" s="13">
        <f>+T43+U39</f>
        <v>2992.1</v>
      </c>
    </row>
    <row r="44" spans="2:21" ht="15.6">
      <c r="B44" s="25"/>
      <c r="C44" s="61" t="s">
        <v>48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>
        <v>25</v>
      </c>
      <c r="O44" s="34"/>
      <c r="P44" s="34"/>
      <c r="Q44" s="34"/>
      <c r="R44" s="34"/>
      <c r="S44" s="34"/>
      <c r="T44" s="32"/>
      <c r="U44" s="18"/>
    </row>
    <row r="45" spans="2:21" ht="15.6">
      <c r="B45" s="25"/>
      <c r="C45" s="61" t="s">
        <v>49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2"/>
      <c r="U45" s="18"/>
    </row>
    <row r="46" spans="2:21" ht="15.6">
      <c r="B46" s="25"/>
      <c r="C46" s="61" t="s">
        <v>50</v>
      </c>
      <c r="D46" s="34"/>
      <c r="E46" s="34"/>
      <c r="F46" s="34"/>
      <c r="G46" s="34"/>
      <c r="H46" s="34"/>
      <c r="I46" s="34"/>
      <c r="J46" s="34"/>
      <c r="K46" s="34">
        <v>130</v>
      </c>
      <c r="L46" s="34"/>
      <c r="M46" s="34">
        <v>360</v>
      </c>
      <c r="N46" s="34"/>
      <c r="O46" s="34"/>
      <c r="P46" s="34"/>
      <c r="Q46" s="34"/>
      <c r="R46" s="34"/>
      <c r="S46" s="34"/>
      <c r="T46" s="32"/>
      <c r="U46" s="18"/>
    </row>
    <row r="47" spans="2:21" ht="15.6">
      <c r="B47" s="25"/>
      <c r="C47" s="61" t="s">
        <v>51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2"/>
      <c r="U47" s="18"/>
    </row>
    <row r="48" spans="2:21" ht="15.6">
      <c r="B48" s="25"/>
      <c r="C48" s="61" t="s">
        <v>52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2"/>
      <c r="U48" s="18"/>
    </row>
    <row r="49" spans="2:21" ht="16.2" thickBot="1">
      <c r="B49" s="27"/>
      <c r="C49" s="62" t="s">
        <v>53</v>
      </c>
      <c r="D49" s="69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33"/>
      <c r="U49" s="24"/>
    </row>
    <row r="50" spans="2:21" ht="15.6">
      <c r="B50" s="29"/>
      <c r="C50" s="63" t="s">
        <v>54</v>
      </c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30">
        <f t="shared" si="0"/>
        <v>0</v>
      </c>
      <c r="U50" s="13">
        <f>+T50+U43</f>
        <v>2992.1</v>
      </c>
    </row>
    <row r="51" spans="2:21" ht="15.6">
      <c r="B51" s="25"/>
      <c r="C51" s="61" t="s">
        <v>55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2">
        <f t="shared" si="0"/>
        <v>0</v>
      </c>
      <c r="U51" s="18">
        <f t="shared" si="1"/>
        <v>2992.1</v>
      </c>
    </row>
    <row r="52" spans="2:21" ht="15.6">
      <c r="B52" s="25"/>
      <c r="C52" s="61" t="s">
        <v>56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2">
        <f t="shared" si="0"/>
        <v>0</v>
      </c>
      <c r="U52" s="18">
        <f t="shared" si="1"/>
        <v>2992.1</v>
      </c>
    </row>
    <row r="53" spans="2:21" ht="15.6">
      <c r="B53" s="25"/>
      <c r="C53" s="61" t="s">
        <v>57</v>
      </c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2">
        <f t="shared" si="0"/>
        <v>0</v>
      </c>
      <c r="U53" s="18">
        <f t="shared" si="1"/>
        <v>2992.1</v>
      </c>
    </row>
    <row r="54" spans="2:21" ht="15.6">
      <c r="B54" s="25"/>
      <c r="C54" s="61" t="s">
        <v>58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2">
        <f t="shared" si="0"/>
        <v>0</v>
      </c>
      <c r="U54" s="18">
        <f t="shared" si="1"/>
        <v>2992.1</v>
      </c>
    </row>
    <row r="55" spans="2:21" ht="15.6">
      <c r="B55" s="25">
        <v>41</v>
      </c>
      <c r="C55" s="61" t="s">
        <v>59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2">
        <f t="shared" si="0"/>
        <v>0</v>
      </c>
      <c r="U55" s="18">
        <f t="shared" si="1"/>
        <v>2992.1</v>
      </c>
    </row>
    <row r="56" spans="2:21" ht="16.2" thickBot="1">
      <c r="B56" s="27"/>
      <c r="C56" s="62" t="s">
        <v>60</v>
      </c>
      <c r="D56" s="69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33">
        <f t="shared" si="0"/>
        <v>0</v>
      </c>
      <c r="U56" s="24">
        <f t="shared" si="1"/>
        <v>2992.1</v>
      </c>
    </row>
    <row r="57" spans="2:21" ht="15.6">
      <c r="B57" s="29"/>
      <c r="C57" s="63" t="s">
        <v>61</v>
      </c>
      <c r="D57" s="66"/>
      <c r="E57" s="66">
        <v>40</v>
      </c>
      <c r="F57" s="66"/>
      <c r="G57" s="66"/>
      <c r="H57" s="66"/>
      <c r="I57" s="66"/>
      <c r="J57" s="66"/>
      <c r="K57" s="66"/>
      <c r="L57" s="66"/>
      <c r="M57" s="66">
        <v>286</v>
      </c>
      <c r="N57" s="66">
        <v>20</v>
      </c>
      <c r="O57" s="66"/>
      <c r="P57" s="66">
        <v>80</v>
      </c>
      <c r="Q57" s="66"/>
      <c r="R57" s="66"/>
      <c r="S57" s="66"/>
      <c r="T57" s="30">
        <f t="shared" si="0"/>
        <v>426</v>
      </c>
      <c r="U57" s="13">
        <f t="shared" si="1"/>
        <v>3418.1</v>
      </c>
    </row>
    <row r="58" spans="2:21" ht="15.6">
      <c r="B58" s="25"/>
      <c r="C58" s="61" t="s">
        <v>62</v>
      </c>
      <c r="D58" s="34"/>
      <c r="E58" s="34"/>
      <c r="F58" s="34"/>
      <c r="G58" s="34"/>
      <c r="H58" s="34"/>
      <c r="I58" s="34"/>
      <c r="J58" s="34"/>
      <c r="K58" s="34">
        <v>150</v>
      </c>
      <c r="L58" s="34"/>
      <c r="M58" s="34">
        <v>100</v>
      </c>
      <c r="N58" s="34"/>
      <c r="O58" s="34"/>
      <c r="P58" s="34"/>
      <c r="Q58" s="34"/>
      <c r="R58" s="34"/>
      <c r="S58" s="34"/>
      <c r="T58" s="32">
        <f t="shared" si="0"/>
        <v>250</v>
      </c>
      <c r="U58" s="18">
        <f t="shared" si="1"/>
        <v>3668.1</v>
      </c>
    </row>
    <row r="59" spans="2:21" ht="15.6">
      <c r="B59" s="25"/>
      <c r="C59" s="61" t="s">
        <v>63</v>
      </c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2">
        <f t="shared" si="0"/>
        <v>0</v>
      </c>
      <c r="U59" s="18">
        <f t="shared" si="1"/>
        <v>3668.1</v>
      </c>
    </row>
    <row r="60" spans="2:21" ht="15.6">
      <c r="B60" s="25"/>
      <c r="C60" s="61" t="s">
        <v>64</v>
      </c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2">
        <f t="shared" si="0"/>
        <v>0</v>
      </c>
      <c r="U60" s="18">
        <f t="shared" si="1"/>
        <v>3668.1</v>
      </c>
    </row>
    <row r="61" spans="2:21" ht="15.6">
      <c r="B61" s="25"/>
      <c r="C61" s="61" t="s">
        <v>65</v>
      </c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2">
        <f t="shared" si="0"/>
        <v>0</v>
      </c>
      <c r="U61" s="18">
        <f t="shared" si="1"/>
        <v>3668.1</v>
      </c>
    </row>
    <row r="62" spans="2:21" ht="15.6">
      <c r="B62" s="25">
        <v>42</v>
      </c>
      <c r="C62" s="61" t="s">
        <v>66</v>
      </c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2">
        <f t="shared" si="0"/>
        <v>0</v>
      </c>
      <c r="U62" s="18">
        <f t="shared" si="1"/>
        <v>3668.1</v>
      </c>
    </row>
    <row r="63" spans="2:21" ht="16.2" thickBot="1">
      <c r="B63" s="27"/>
      <c r="C63" s="62" t="s">
        <v>67</v>
      </c>
      <c r="D63" s="69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33">
        <f t="shared" si="0"/>
        <v>0</v>
      </c>
      <c r="U63" s="24">
        <f t="shared" si="1"/>
        <v>3668.1</v>
      </c>
    </row>
    <row r="64" spans="2:21" ht="15.6">
      <c r="B64" s="29"/>
      <c r="C64" s="63" t="s">
        <v>68</v>
      </c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>
        <v>20</v>
      </c>
      <c r="P64" s="66">
        <v>45</v>
      </c>
      <c r="Q64" s="66">
        <v>60</v>
      </c>
      <c r="R64" s="66">
        <v>240</v>
      </c>
      <c r="S64" s="66"/>
      <c r="T64" s="30">
        <f t="shared" si="0"/>
        <v>365</v>
      </c>
      <c r="U64" s="13">
        <f t="shared" si="1"/>
        <v>4033.1</v>
      </c>
    </row>
    <row r="65" spans="2:21" ht="15.6">
      <c r="B65" s="25"/>
      <c r="C65" s="61" t="s">
        <v>69</v>
      </c>
      <c r="D65" s="34"/>
      <c r="E65" s="34">
        <v>60</v>
      </c>
      <c r="F65" s="34"/>
      <c r="G65" s="34"/>
      <c r="H65" s="34"/>
      <c r="I65" s="34"/>
      <c r="J65" s="34"/>
      <c r="K65" s="34"/>
      <c r="L65" s="34"/>
      <c r="M65" s="34"/>
      <c r="N65" s="34">
        <v>80</v>
      </c>
      <c r="O65" s="34"/>
      <c r="P65" s="34">
        <v>400</v>
      </c>
      <c r="Q65" s="34"/>
      <c r="R65" s="34"/>
      <c r="S65" s="34"/>
      <c r="T65" s="32">
        <f t="shared" si="0"/>
        <v>540</v>
      </c>
      <c r="U65" s="18">
        <f t="shared" si="1"/>
        <v>4573.1000000000004</v>
      </c>
    </row>
    <row r="66" spans="2:21" ht="15.6">
      <c r="B66" s="25"/>
      <c r="C66" s="61" t="s">
        <v>70</v>
      </c>
      <c r="D66" s="34"/>
      <c r="E66" s="34"/>
      <c r="F66" s="34"/>
      <c r="G66" s="34"/>
      <c r="H66" s="34"/>
      <c r="I66" s="34"/>
      <c r="J66" s="34"/>
      <c r="K66" s="34"/>
      <c r="L66" s="34"/>
      <c r="M66" s="34">
        <v>360</v>
      </c>
      <c r="N66" s="34"/>
      <c r="O66" s="34"/>
      <c r="P66" s="34"/>
      <c r="Q66" s="34"/>
      <c r="R66" s="34"/>
      <c r="S66" s="34"/>
      <c r="T66" s="32">
        <f t="shared" si="0"/>
        <v>360</v>
      </c>
      <c r="U66" s="18">
        <f t="shared" si="1"/>
        <v>4933.1000000000004</v>
      </c>
    </row>
    <row r="67" spans="2:21" ht="15.6">
      <c r="B67" s="25"/>
      <c r="C67" s="61" t="s">
        <v>71</v>
      </c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2">
        <f t="shared" si="0"/>
        <v>0</v>
      </c>
      <c r="U67" s="18">
        <f t="shared" si="1"/>
        <v>4933.1000000000004</v>
      </c>
    </row>
    <row r="68" spans="2:21" ht="15.6">
      <c r="B68" s="25"/>
      <c r="C68" s="61" t="s">
        <v>72</v>
      </c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2">
        <f t="shared" si="0"/>
        <v>0</v>
      </c>
      <c r="U68" s="18">
        <f t="shared" si="1"/>
        <v>4933.1000000000004</v>
      </c>
    </row>
    <row r="69" spans="2:21" ht="15.6">
      <c r="B69" s="25">
        <v>43</v>
      </c>
      <c r="C69" s="61" t="s">
        <v>73</v>
      </c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2">
        <f t="shared" si="0"/>
        <v>0</v>
      </c>
      <c r="U69" s="18">
        <f t="shared" si="1"/>
        <v>4933.1000000000004</v>
      </c>
    </row>
    <row r="70" spans="2:21" ht="16.2" thickBot="1">
      <c r="B70" s="27"/>
      <c r="C70" s="62" t="s">
        <v>74</v>
      </c>
      <c r="D70" s="69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33">
        <f t="shared" si="0"/>
        <v>0</v>
      </c>
      <c r="U70" s="24">
        <f t="shared" si="1"/>
        <v>4933.1000000000004</v>
      </c>
    </row>
    <row r="71" spans="2:21" ht="15.6">
      <c r="B71" s="29"/>
      <c r="C71" s="63" t="s">
        <v>75</v>
      </c>
      <c r="D71" s="66"/>
      <c r="E71" s="66"/>
      <c r="F71" s="66">
        <v>10</v>
      </c>
      <c r="G71" s="66">
        <v>120</v>
      </c>
      <c r="H71" s="66"/>
      <c r="I71" s="66"/>
      <c r="J71" s="66"/>
      <c r="K71" s="66"/>
      <c r="L71" s="66"/>
      <c r="M71" s="66"/>
      <c r="N71" s="66"/>
      <c r="O71" s="66">
        <v>20</v>
      </c>
      <c r="P71" s="66">
        <v>160</v>
      </c>
      <c r="Q71" s="66">
        <v>40</v>
      </c>
      <c r="R71" s="66">
        <v>400</v>
      </c>
      <c r="S71" s="66">
        <v>180</v>
      </c>
      <c r="T71" s="30">
        <f t="shared" si="0"/>
        <v>930</v>
      </c>
      <c r="U71" s="13">
        <f t="shared" si="1"/>
        <v>5863.1</v>
      </c>
    </row>
    <row r="72" spans="2:21" ht="15.6">
      <c r="B72" s="25"/>
      <c r="C72" s="61" t="s">
        <v>76</v>
      </c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2">
        <f t="shared" si="0"/>
        <v>0</v>
      </c>
      <c r="U72" s="18">
        <f t="shared" si="1"/>
        <v>5863.1</v>
      </c>
    </row>
    <row r="73" spans="2:21" ht="15.6">
      <c r="B73" s="25"/>
      <c r="C73" s="61" t="s">
        <v>77</v>
      </c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>
        <v>500</v>
      </c>
      <c r="O73" s="34"/>
      <c r="P73" s="34">
        <v>160</v>
      </c>
      <c r="Q73" s="34"/>
      <c r="R73" s="34"/>
      <c r="S73" s="34"/>
      <c r="T73" s="32">
        <f t="shared" si="0"/>
        <v>660</v>
      </c>
      <c r="U73" s="18">
        <f t="shared" si="1"/>
        <v>6523.1</v>
      </c>
    </row>
    <row r="74" spans="2:21" ht="15.6">
      <c r="B74" s="25"/>
      <c r="C74" s="61" t="s">
        <v>78</v>
      </c>
      <c r="D74" s="34"/>
      <c r="E74" s="34"/>
      <c r="F74" s="34"/>
      <c r="G74" s="34">
        <v>30</v>
      </c>
      <c r="H74" s="34"/>
      <c r="I74" s="34"/>
      <c r="J74" s="34"/>
      <c r="K74" s="34"/>
      <c r="L74" s="34"/>
      <c r="M74" s="34"/>
      <c r="N74" s="34"/>
      <c r="O74" s="34"/>
      <c r="P74" s="34">
        <v>120</v>
      </c>
      <c r="Q74" s="34">
        <v>20</v>
      </c>
      <c r="R74" s="34">
        <v>190</v>
      </c>
      <c r="S74" s="34">
        <v>90</v>
      </c>
      <c r="T74" s="32">
        <f t="shared" si="0"/>
        <v>450</v>
      </c>
      <c r="U74" s="18">
        <f t="shared" si="1"/>
        <v>6973.1</v>
      </c>
    </row>
    <row r="75" spans="2:21" ht="15.6">
      <c r="B75" s="25"/>
      <c r="C75" s="61" t="s">
        <v>79</v>
      </c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2">
        <f t="shared" si="0"/>
        <v>0</v>
      </c>
      <c r="U75" s="18">
        <f t="shared" si="1"/>
        <v>6973.1</v>
      </c>
    </row>
    <row r="76" spans="2:21" ht="15.6">
      <c r="B76" s="25">
        <v>44</v>
      </c>
      <c r="C76" s="61" t="s">
        <v>80</v>
      </c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2">
        <f t="shared" si="0"/>
        <v>0</v>
      </c>
      <c r="U76" s="18">
        <f t="shared" si="1"/>
        <v>6973.1</v>
      </c>
    </row>
    <row r="77" spans="2:21" ht="16.2" thickBot="1">
      <c r="B77" s="27"/>
      <c r="C77" s="62" t="s">
        <v>81</v>
      </c>
      <c r="D77" s="69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33">
        <f t="shared" si="0"/>
        <v>0</v>
      </c>
      <c r="U77" s="24">
        <f t="shared" si="1"/>
        <v>6973.1</v>
      </c>
    </row>
    <row r="78" spans="2:21" ht="15.6">
      <c r="B78" s="29"/>
      <c r="C78" s="63" t="s">
        <v>82</v>
      </c>
      <c r="D78" s="66">
        <v>50</v>
      </c>
      <c r="E78" s="66">
        <v>20</v>
      </c>
      <c r="F78" s="66">
        <v>20</v>
      </c>
      <c r="G78" s="66"/>
      <c r="H78" s="66"/>
      <c r="I78" s="66"/>
      <c r="J78" s="66"/>
      <c r="K78" s="66"/>
      <c r="L78" s="66"/>
      <c r="M78" s="66"/>
      <c r="N78" s="66">
        <v>400</v>
      </c>
      <c r="O78" s="66">
        <v>100</v>
      </c>
      <c r="P78" s="66">
        <v>390</v>
      </c>
      <c r="Q78" s="66"/>
      <c r="R78" s="66"/>
      <c r="S78" s="66"/>
      <c r="T78" s="30">
        <f t="shared" si="0"/>
        <v>980</v>
      </c>
      <c r="U78" s="13">
        <f t="shared" si="1"/>
        <v>7953.1</v>
      </c>
    </row>
    <row r="79" spans="2:21" ht="15.6">
      <c r="B79" s="25"/>
      <c r="C79" s="61" t="s">
        <v>83</v>
      </c>
      <c r="D79" s="34"/>
      <c r="E79" s="34"/>
      <c r="F79" s="34"/>
      <c r="G79" s="34">
        <v>480</v>
      </c>
      <c r="H79" s="34"/>
      <c r="I79" s="34"/>
      <c r="J79" s="34"/>
      <c r="K79" s="34"/>
      <c r="L79" s="34"/>
      <c r="M79" s="34"/>
      <c r="N79" s="34">
        <v>320</v>
      </c>
      <c r="O79" s="34">
        <v>180</v>
      </c>
      <c r="P79" s="34"/>
      <c r="Q79" s="34"/>
      <c r="R79" s="34"/>
      <c r="S79" s="34">
        <v>20</v>
      </c>
      <c r="T79" s="32">
        <f t="shared" si="0"/>
        <v>1000</v>
      </c>
      <c r="U79" s="18">
        <f t="shared" si="1"/>
        <v>8953.1</v>
      </c>
    </row>
    <row r="80" spans="2:21" ht="15.6">
      <c r="B80" s="25"/>
      <c r="C80" s="61" t="s">
        <v>84</v>
      </c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2">
        <f t="shared" si="0"/>
        <v>0</v>
      </c>
      <c r="U80" s="18">
        <f t="shared" si="1"/>
        <v>8953.1</v>
      </c>
    </row>
    <row r="81" spans="2:21" ht="15.6">
      <c r="B81" s="25"/>
      <c r="C81" s="61" t="s">
        <v>85</v>
      </c>
      <c r="D81" s="34">
        <v>60</v>
      </c>
      <c r="E81" s="34"/>
      <c r="F81" s="34"/>
      <c r="G81" s="34">
        <v>90</v>
      </c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2">
        <f t="shared" si="0"/>
        <v>150</v>
      </c>
      <c r="U81" s="18">
        <f t="shared" si="1"/>
        <v>9103.1</v>
      </c>
    </row>
    <row r="82" spans="2:21" ht="15.6">
      <c r="B82" s="25"/>
      <c r="C82" s="61" t="s">
        <v>86</v>
      </c>
      <c r="D82" s="34"/>
      <c r="E82" s="34">
        <v>10</v>
      </c>
      <c r="F82" s="34"/>
      <c r="G82" s="34">
        <v>110</v>
      </c>
      <c r="H82" s="34"/>
      <c r="I82" s="34"/>
      <c r="J82" s="34"/>
      <c r="K82" s="34"/>
      <c r="L82" s="34"/>
      <c r="M82" s="34"/>
      <c r="N82" s="34">
        <v>160</v>
      </c>
      <c r="O82" s="34"/>
      <c r="P82" s="34"/>
      <c r="Q82" s="34">
        <v>20</v>
      </c>
      <c r="R82" s="34"/>
      <c r="S82" s="34">
        <v>100</v>
      </c>
      <c r="T82" s="32">
        <f t="shared" si="0"/>
        <v>400</v>
      </c>
      <c r="U82" s="18">
        <f t="shared" si="1"/>
        <v>9503.1</v>
      </c>
    </row>
    <row r="83" spans="2:21" ht="15.6">
      <c r="B83" s="25">
        <v>45</v>
      </c>
      <c r="C83" s="61" t="s">
        <v>87</v>
      </c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2">
        <f t="shared" si="0"/>
        <v>0</v>
      </c>
      <c r="U83" s="18">
        <f t="shared" si="1"/>
        <v>9503.1</v>
      </c>
    </row>
    <row r="84" spans="2:21" ht="16.2" thickBot="1">
      <c r="B84" s="27"/>
      <c r="C84" s="62" t="s">
        <v>88</v>
      </c>
      <c r="D84" s="69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33">
        <f t="shared" si="0"/>
        <v>0</v>
      </c>
      <c r="U84" s="24">
        <f t="shared" si="1"/>
        <v>9503.1</v>
      </c>
    </row>
    <row r="85" spans="2:21" ht="15.6">
      <c r="B85" s="29"/>
      <c r="C85" s="63" t="s">
        <v>89</v>
      </c>
      <c r="D85" s="66">
        <v>85</v>
      </c>
      <c r="E85" s="66"/>
      <c r="F85" s="66"/>
      <c r="G85" s="66">
        <v>300</v>
      </c>
      <c r="H85" s="66"/>
      <c r="I85" s="66"/>
      <c r="J85" s="66"/>
      <c r="K85" s="66"/>
      <c r="L85" s="66"/>
      <c r="M85" s="66"/>
      <c r="N85" s="66">
        <v>305</v>
      </c>
      <c r="O85" s="66"/>
      <c r="P85" s="66"/>
      <c r="Q85" s="66"/>
      <c r="R85" s="66"/>
      <c r="S85" s="66"/>
      <c r="T85" s="30">
        <f t="shared" si="0"/>
        <v>690</v>
      </c>
      <c r="U85" s="13">
        <f t="shared" si="1"/>
        <v>10193.1</v>
      </c>
    </row>
    <row r="86" spans="2:21" ht="15.6">
      <c r="B86" s="25"/>
      <c r="C86" s="61" t="s">
        <v>90</v>
      </c>
      <c r="D86" s="34"/>
      <c r="E86" s="34"/>
      <c r="F86" s="34"/>
      <c r="G86" s="34">
        <v>245</v>
      </c>
      <c r="H86" s="34"/>
      <c r="I86" s="34"/>
      <c r="J86" s="34"/>
      <c r="K86" s="34"/>
      <c r="L86" s="34"/>
      <c r="M86" s="34"/>
      <c r="N86" s="34"/>
      <c r="O86" s="34"/>
      <c r="P86" s="34"/>
      <c r="Q86" s="34">
        <v>10</v>
      </c>
      <c r="R86" s="34"/>
      <c r="S86" s="34">
        <v>20</v>
      </c>
      <c r="T86" s="32">
        <f t="shared" si="0"/>
        <v>275</v>
      </c>
      <c r="U86" s="18">
        <f t="shared" si="1"/>
        <v>10468.1</v>
      </c>
    </row>
    <row r="87" spans="2:21" ht="15.6">
      <c r="B87" s="25"/>
      <c r="C87" s="61" t="s">
        <v>91</v>
      </c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2">
        <f t="shared" si="0"/>
        <v>0</v>
      </c>
      <c r="U87" s="18">
        <f t="shared" ref="U87:U119" si="2">+T87+U86</f>
        <v>10468.1</v>
      </c>
    </row>
    <row r="88" spans="2:21" ht="15.6">
      <c r="B88" s="25"/>
      <c r="C88" s="61" t="s">
        <v>92</v>
      </c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2">
        <f t="shared" si="0"/>
        <v>0</v>
      </c>
      <c r="U88" s="18">
        <f t="shared" si="2"/>
        <v>10468.1</v>
      </c>
    </row>
    <row r="89" spans="2:21" ht="15.6">
      <c r="B89" s="25"/>
      <c r="C89" s="61" t="s">
        <v>93</v>
      </c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2">
        <f t="shared" si="0"/>
        <v>0</v>
      </c>
      <c r="U89" s="18">
        <f t="shared" si="2"/>
        <v>10468.1</v>
      </c>
    </row>
    <row r="90" spans="2:21" ht="15.6">
      <c r="B90" s="25">
        <v>46</v>
      </c>
      <c r="C90" s="61" t="s">
        <v>94</v>
      </c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2">
        <f t="shared" si="0"/>
        <v>0</v>
      </c>
      <c r="U90" s="18">
        <f t="shared" si="2"/>
        <v>10468.1</v>
      </c>
    </row>
    <row r="91" spans="2:21" ht="16.2" thickBot="1">
      <c r="B91" s="27"/>
      <c r="C91" s="62" t="s">
        <v>95</v>
      </c>
      <c r="D91" s="69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33">
        <f t="shared" si="0"/>
        <v>0</v>
      </c>
      <c r="U91" s="24">
        <f t="shared" si="2"/>
        <v>10468.1</v>
      </c>
    </row>
    <row r="92" spans="2:21" ht="15.6">
      <c r="B92" s="29"/>
      <c r="C92" s="63" t="s">
        <v>96</v>
      </c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>
        <v>90.3</v>
      </c>
      <c r="O92" s="66"/>
      <c r="P92" s="66">
        <v>920</v>
      </c>
      <c r="Q92" s="66">
        <v>160</v>
      </c>
      <c r="R92" s="66">
        <v>180</v>
      </c>
      <c r="S92" s="66">
        <v>227.7</v>
      </c>
      <c r="T92" s="30">
        <f t="shared" si="0"/>
        <v>1578</v>
      </c>
      <c r="U92" s="13">
        <f t="shared" si="2"/>
        <v>12046.1</v>
      </c>
    </row>
    <row r="93" spans="2:21" ht="15.6">
      <c r="B93" s="25"/>
      <c r="C93" s="61" t="s">
        <v>98</v>
      </c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2">
        <f t="shared" si="0"/>
        <v>0</v>
      </c>
      <c r="U93" s="18">
        <f t="shared" si="2"/>
        <v>12046.1</v>
      </c>
    </row>
    <row r="94" spans="2:21" ht="15.6">
      <c r="B94" s="25"/>
      <c r="C94" s="61" t="s">
        <v>99</v>
      </c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2">
        <f t="shared" si="0"/>
        <v>0</v>
      </c>
      <c r="U94" s="18">
        <f t="shared" si="2"/>
        <v>12046.1</v>
      </c>
    </row>
    <row r="95" spans="2:21" ht="15.6">
      <c r="B95" s="25"/>
      <c r="C95" s="61" t="s">
        <v>100</v>
      </c>
      <c r="D95" s="34">
        <v>20</v>
      </c>
      <c r="E95" s="34"/>
      <c r="F95" s="34">
        <v>180</v>
      </c>
      <c r="G95" s="34"/>
      <c r="H95" s="34"/>
      <c r="I95" s="34"/>
      <c r="J95" s="34"/>
      <c r="K95" s="34"/>
      <c r="L95" s="34"/>
      <c r="M95" s="34"/>
      <c r="N95" s="34">
        <v>100</v>
      </c>
      <c r="O95" s="34">
        <v>1020</v>
      </c>
      <c r="P95" s="34">
        <v>240</v>
      </c>
      <c r="Q95" s="34">
        <v>67.7</v>
      </c>
      <c r="R95" s="34">
        <v>90</v>
      </c>
      <c r="S95" s="34"/>
      <c r="T95" s="32">
        <f t="shared" si="0"/>
        <v>1717.7</v>
      </c>
      <c r="U95" s="18">
        <f t="shared" si="2"/>
        <v>13763.800000000001</v>
      </c>
    </row>
    <row r="96" spans="2:21" ht="15.6">
      <c r="B96" s="25"/>
      <c r="C96" s="61" t="s">
        <v>101</v>
      </c>
      <c r="D96" s="34"/>
      <c r="E96" s="34">
        <v>16</v>
      </c>
      <c r="F96" s="34">
        <v>490</v>
      </c>
      <c r="G96" s="34">
        <v>240</v>
      </c>
      <c r="H96" s="34">
        <v>180</v>
      </c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>
        <v>60</v>
      </c>
      <c r="T96" s="32">
        <f t="shared" si="0"/>
        <v>986</v>
      </c>
      <c r="U96" s="18">
        <f t="shared" si="2"/>
        <v>14749.800000000001</v>
      </c>
    </row>
    <row r="97" spans="2:21" ht="15.6">
      <c r="B97" s="25">
        <v>47</v>
      </c>
      <c r="C97" s="61" t="s">
        <v>102</v>
      </c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2">
        <f t="shared" si="0"/>
        <v>0</v>
      </c>
      <c r="U97" s="18">
        <f t="shared" si="2"/>
        <v>14749.800000000001</v>
      </c>
    </row>
    <row r="98" spans="2:21" ht="16.2" thickBot="1">
      <c r="B98" s="27"/>
      <c r="C98" s="62" t="s">
        <v>103</v>
      </c>
      <c r="D98" s="69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33">
        <f t="shared" si="0"/>
        <v>0</v>
      </c>
      <c r="U98" s="24">
        <f t="shared" si="2"/>
        <v>14749.800000000001</v>
      </c>
    </row>
    <row r="99" spans="2:21" ht="15.6">
      <c r="B99" s="29"/>
      <c r="C99" s="63" t="s">
        <v>104</v>
      </c>
      <c r="D99" s="66"/>
      <c r="E99" s="66"/>
      <c r="F99" s="66"/>
      <c r="G99" s="66">
        <v>160</v>
      </c>
      <c r="H99" s="66">
        <f>180+320</f>
        <v>500</v>
      </c>
      <c r="I99" s="66"/>
      <c r="J99" s="66">
        <f>397.3+430</f>
        <v>827.3</v>
      </c>
      <c r="K99" s="66"/>
      <c r="L99" s="66"/>
      <c r="M99" s="66"/>
      <c r="N99" s="66"/>
      <c r="O99" s="66">
        <v>1700</v>
      </c>
      <c r="P99" s="66"/>
      <c r="Q99" s="66"/>
      <c r="R99" s="66"/>
      <c r="S99" s="66"/>
      <c r="T99" s="30">
        <f t="shared" si="0"/>
        <v>3187.3</v>
      </c>
      <c r="U99" s="13">
        <f t="shared" si="2"/>
        <v>17937.100000000002</v>
      </c>
    </row>
    <row r="100" spans="2:21" ht="15.6">
      <c r="B100" s="25"/>
      <c r="C100" s="61" t="s">
        <v>105</v>
      </c>
      <c r="D100" s="34"/>
      <c r="E100" s="34"/>
      <c r="F100" s="34">
        <v>2515.4</v>
      </c>
      <c r="G100" s="34">
        <v>80</v>
      </c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>
        <v>60</v>
      </c>
      <c r="S100" s="34">
        <v>40</v>
      </c>
      <c r="T100" s="32">
        <f t="shared" si="0"/>
        <v>2695.4</v>
      </c>
      <c r="U100" s="18">
        <f t="shared" si="2"/>
        <v>20632.500000000004</v>
      </c>
    </row>
    <row r="101" spans="2:21" ht="15.6">
      <c r="B101" s="25"/>
      <c r="C101" s="61" t="s">
        <v>106</v>
      </c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2">
        <f t="shared" si="0"/>
        <v>0</v>
      </c>
      <c r="U101" s="18">
        <f t="shared" si="2"/>
        <v>20632.500000000004</v>
      </c>
    </row>
    <row r="102" spans="2:21" ht="15.6">
      <c r="B102" s="25"/>
      <c r="C102" s="61" t="s">
        <v>107</v>
      </c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2">
        <f t="shared" si="0"/>
        <v>0</v>
      </c>
      <c r="U102" s="18">
        <f t="shared" si="2"/>
        <v>20632.500000000004</v>
      </c>
    </row>
    <row r="103" spans="2:21" ht="15.6">
      <c r="B103" s="25"/>
      <c r="C103" s="61" t="s">
        <v>108</v>
      </c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2">
        <f t="shared" si="0"/>
        <v>0</v>
      </c>
      <c r="U103" s="18">
        <f t="shared" si="2"/>
        <v>20632.500000000004</v>
      </c>
    </row>
    <row r="104" spans="2:21" ht="15.6">
      <c r="B104" s="25">
        <v>48</v>
      </c>
      <c r="C104" s="61" t="s">
        <v>109</v>
      </c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2">
        <f t="shared" ref="T104:T125" si="3">SUM(D104:S104)</f>
        <v>0</v>
      </c>
      <c r="U104" s="18">
        <f t="shared" si="2"/>
        <v>20632.500000000004</v>
      </c>
    </row>
    <row r="105" spans="2:21" ht="16.2" thickBot="1">
      <c r="B105" s="27"/>
      <c r="C105" s="62" t="s">
        <v>110</v>
      </c>
      <c r="D105" s="69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33">
        <f t="shared" si="3"/>
        <v>0</v>
      </c>
      <c r="U105" s="24">
        <f t="shared" si="2"/>
        <v>20632.500000000004</v>
      </c>
    </row>
    <row r="106" spans="2:21" ht="15.6">
      <c r="B106" s="29"/>
      <c r="C106" s="63" t="s">
        <v>111</v>
      </c>
      <c r="D106" s="66"/>
      <c r="E106" s="66"/>
      <c r="F106" s="66">
        <v>1400</v>
      </c>
      <c r="G106" s="66"/>
      <c r="H106" s="66"/>
      <c r="I106" s="66"/>
      <c r="J106" s="66"/>
      <c r="K106" s="66"/>
      <c r="L106" s="66">
        <v>1098</v>
      </c>
      <c r="M106" s="66"/>
      <c r="N106" s="66"/>
      <c r="O106" s="66">
        <v>5480</v>
      </c>
      <c r="P106" s="66"/>
      <c r="Q106" s="66"/>
      <c r="R106" s="66"/>
      <c r="S106" s="66"/>
      <c r="T106" s="30">
        <f t="shared" si="3"/>
        <v>7978</v>
      </c>
      <c r="U106" s="13">
        <f t="shared" si="2"/>
        <v>28610.500000000004</v>
      </c>
    </row>
    <row r="107" spans="2:21" ht="15.6">
      <c r="B107" s="25"/>
      <c r="C107" s="61" t="s">
        <v>112</v>
      </c>
      <c r="D107" s="34"/>
      <c r="E107" s="34"/>
      <c r="F107" s="34">
        <v>460</v>
      </c>
      <c r="G107" s="34">
        <v>3680</v>
      </c>
      <c r="H107" s="34"/>
      <c r="I107" s="34"/>
      <c r="J107" s="34"/>
      <c r="K107" s="34"/>
      <c r="L107" s="34"/>
      <c r="M107" s="34"/>
      <c r="N107" s="34">
        <v>1385</v>
      </c>
      <c r="O107" s="34">
        <v>480</v>
      </c>
      <c r="P107" s="34">
        <v>920</v>
      </c>
      <c r="Q107" s="34"/>
      <c r="R107" s="34"/>
      <c r="S107" s="34"/>
      <c r="T107" s="32">
        <f t="shared" si="3"/>
        <v>6925</v>
      </c>
      <c r="U107" s="18">
        <f t="shared" si="2"/>
        <v>35535.5</v>
      </c>
    </row>
    <row r="108" spans="2:21" ht="15.6">
      <c r="B108" s="25"/>
      <c r="C108" s="61" t="s">
        <v>113</v>
      </c>
      <c r="D108" s="34">
        <v>600</v>
      </c>
      <c r="E108" s="34"/>
      <c r="F108" s="34"/>
      <c r="G108" s="34">
        <v>2050</v>
      </c>
      <c r="H108" s="34"/>
      <c r="I108" s="34">
        <v>2646</v>
      </c>
      <c r="J108" s="34"/>
      <c r="K108" s="34"/>
      <c r="L108" s="34"/>
      <c r="M108" s="34"/>
      <c r="N108" s="34">
        <v>3000</v>
      </c>
      <c r="O108" s="34"/>
      <c r="P108" s="34"/>
      <c r="Q108" s="34"/>
      <c r="R108" s="34"/>
      <c r="S108" s="34"/>
      <c r="T108" s="32">
        <f t="shared" si="3"/>
        <v>8296</v>
      </c>
      <c r="U108" s="18">
        <f t="shared" si="2"/>
        <v>43831.5</v>
      </c>
    </row>
    <row r="109" spans="2:21" ht="15.6">
      <c r="B109" s="25"/>
      <c r="C109" s="61" t="s">
        <v>114</v>
      </c>
      <c r="D109" s="34">
        <v>1367</v>
      </c>
      <c r="E109" s="34"/>
      <c r="F109" s="34"/>
      <c r="G109" s="34"/>
      <c r="H109" s="34"/>
      <c r="I109" s="34">
        <v>5800</v>
      </c>
      <c r="J109" s="34"/>
      <c r="K109" s="34"/>
      <c r="L109" s="34"/>
      <c r="M109" s="34"/>
      <c r="N109" s="34">
        <v>2360</v>
      </c>
      <c r="O109" s="34"/>
      <c r="P109" s="34"/>
      <c r="Q109" s="34"/>
      <c r="R109" s="34"/>
      <c r="S109" s="34"/>
      <c r="T109" s="32">
        <f t="shared" si="3"/>
        <v>9527</v>
      </c>
      <c r="U109" s="18">
        <f t="shared" si="2"/>
        <v>53358.5</v>
      </c>
    </row>
    <row r="110" spans="2:21" ht="15.6">
      <c r="B110" s="25"/>
      <c r="C110" s="61" t="s">
        <v>115</v>
      </c>
      <c r="D110" s="34">
        <v>4969.8</v>
      </c>
      <c r="E110" s="34"/>
      <c r="F110" s="34"/>
      <c r="G110" s="34"/>
      <c r="H110" s="34"/>
      <c r="I110" s="34">
        <v>5390</v>
      </c>
      <c r="J110" s="34"/>
      <c r="K110" s="34"/>
      <c r="L110" s="34"/>
      <c r="M110" s="34"/>
      <c r="N110" s="34"/>
      <c r="O110" s="34"/>
      <c r="P110" s="34"/>
      <c r="Q110" s="34"/>
      <c r="R110" s="34"/>
      <c r="S110" s="34">
        <v>85</v>
      </c>
      <c r="T110" s="32">
        <f t="shared" si="3"/>
        <v>10444.799999999999</v>
      </c>
      <c r="U110" s="18">
        <f t="shared" si="2"/>
        <v>63803.3</v>
      </c>
    </row>
    <row r="111" spans="2:21" ht="15.6">
      <c r="B111" s="25">
        <v>49</v>
      </c>
      <c r="C111" s="61" t="s">
        <v>116</v>
      </c>
      <c r="D111" s="34">
        <v>4320</v>
      </c>
      <c r="E111" s="34"/>
      <c r="F111" s="34"/>
      <c r="G111" s="34"/>
      <c r="H111" s="34"/>
      <c r="I111" s="34">
        <v>4580</v>
      </c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2">
        <f t="shared" si="3"/>
        <v>8900</v>
      </c>
      <c r="U111" s="18">
        <f t="shared" si="2"/>
        <v>72703.3</v>
      </c>
    </row>
    <row r="112" spans="2:21" ht="16.2" thickBot="1">
      <c r="B112" s="27"/>
      <c r="C112" s="62" t="s">
        <v>117</v>
      </c>
      <c r="D112" s="69">
        <v>7900</v>
      </c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33">
        <f t="shared" si="3"/>
        <v>7900</v>
      </c>
      <c r="U112" s="24">
        <f t="shared" si="2"/>
        <v>80603.3</v>
      </c>
    </row>
    <row r="113" spans="2:21" ht="15.6">
      <c r="B113" s="29"/>
      <c r="C113" s="63" t="s">
        <v>118</v>
      </c>
      <c r="D113" s="66">
        <v>6300</v>
      </c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30">
        <f t="shared" si="3"/>
        <v>6300</v>
      </c>
      <c r="U113" s="13">
        <f t="shared" si="2"/>
        <v>86903.3</v>
      </c>
    </row>
    <row r="114" spans="2:21" ht="15.6">
      <c r="B114" s="25"/>
      <c r="C114" s="61" t="s">
        <v>119</v>
      </c>
      <c r="D114" s="34">
        <v>5140</v>
      </c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2">
        <f t="shared" si="3"/>
        <v>5140</v>
      </c>
      <c r="U114" s="18">
        <f t="shared" si="2"/>
        <v>92043.3</v>
      </c>
    </row>
    <row r="115" spans="2:21" ht="15.6">
      <c r="B115" s="25"/>
      <c r="C115" s="61" t="s">
        <v>120</v>
      </c>
      <c r="D115" s="34">
        <v>3483</v>
      </c>
      <c r="E115" s="34"/>
      <c r="F115" s="34"/>
      <c r="G115" s="34"/>
      <c r="H115" s="34">
        <v>30</v>
      </c>
      <c r="I115" s="34"/>
      <c r="J115" s="34"/>
      <c r="K115" s="34"/>
      <c r="L115" s="34"/>
      <c r="M115" s="34"/>
      <c r="N115" s="34">
        <v>150</v>
      </c>
      <c r="O115" s="34"/>
      <c r="P115" s="34"/>
      <c r="Q115" s="34"/>
      <c r="R115" s="34"/>
      <c r="S115" s="34"/>
      <c r="T115" s="32">
        <f t="shared" si="3"/>
        <v>3663</v>
      </c>
      <c r="U115" s="18">
        <f t="shared" si="2"/>
        <v>95706.3</v>
      </c>
    </row>
    <row r="116" spans="2:21" ht="15.6">
      <c r="B116" s="25"/>
      <c r="C116" s="61" t="s">
        <v>121</v>
      </c>
      <c r="D116" s="34">
        <v>700</v>
      </c>
      <c r="E116" s="34"/>
      <c r="F116" s="34"/>
      <c r="G116" s="34"/>
      <c r="H116" s="34"/>
      <c r="I116" s="34"/>
      <c r="J116" s="34">
        <v>610</v>
      </c>
      <c r="K116" s="34"/>
      <c r="L116" s="34">
        <v>4460</v>
      </c>
      <c r="M116" s="34"/>
      <c r="N116" s="34">
        <v>580</v>
      </c>
      <c r="O116" s="34"/>
      <c r="P116" s="34"/>
      <c r="Q116" s="34"/>
      <c r="R116" s="34"/>
      <c r="S116" s="34"/>
      <c r="T116" s="32">
        <f t="shared" si="3"/>
        <v>6350</v>
      </c>
      <c r="U116" s="18">
        <f t="shared" si="2"/>
        <v>102056.3</v>
      </c>
    </row>
    <row r="117" spans="2:21" ht="15.6">
      <c r="B117" s="25"/>
      <c r="C117" s="61" t="s">
        <v>122</v>
      </c>
      <c r="D117" s="34"/>
      <c r="E117" s="34"/>
      <c r="F117" s="34"/>
      <c r="G117" s="34"/>
      <c r="H117" s="34">
        <v>236.8</v>
      </c>
      <c r="I117" s="34"/>
      <c r="J117" s="34">
        <v>1240</v>
      </c>
      <c r="K117" s="34"/>
      <c r="L117" s="34">
        <v>1920</v>
      </c>
      <c r="M117" s="34"/>
      <c r="N117" s="34"/>
      <c r="O117" s="34"/>
      <c r="P117" s="34"/>
      <c r="Q117" s="34"/>
      <c r="R117" s="34"/>
      <c r="S117" s="34"/>
      <c r="T117" s="32">
        <f t="shared" si="3"/>
        <v>3396.8</v>
      </c>
      <c r="U117" s="18">
        <f t="shared" si="2"/>
        <v>105453.1</v>
      </c>
    </row>
    <row r="118" spans="2:21" ht="15.6">
      <c r="B118" s="25">
        <v>50</v>
      </c>
      <c r="C118" s="61" t="s">
        <v>123</v>
      </c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2">
        <f t="shared" si="3"/>
        <v>0</v>
      </c>
      <c r="U118" s="18">
        <f t="shared" si="2"/>
        <v>105453.1</v>
      </c>
    </row>
    <row r="119" spans="2:21" ht="16.2" thickBot="1">
      <c r="B119" s="27"/>
      <c r="C119" s="62" t="s">
        <v>124</v>
      </c>
      <c r="D119" s="69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33">
        <f t="shared" si="3"/>
        <v>0</v>
      </c>
      <c r="U119" s="24">
        <f t="shared" si="2"/>
        <v>105453.1</v>
      </c>
    </row>
    <row r="120" spans="2:21" ht="15.6">
      <c r="B120" s="29"/>
      <c r="C120" s="63" t="s">
        <v>125</v>
      </c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30">
        <f t="shared" si="3"/>
        <v>0</v>
      </c>
      <c r="U120" s="13"/>
    </row>
    <row r="121" spans="2:21" ht="15.6">
      <c r="B121" s="25"/>
      <c r="C121" s="61" t="s">
        <v>126</v>
      </c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2">
        <f t="shared" si="3"/>
        <v>0</v>
      </c>
      <c r="U121" s="18"/>
    </row>
    <row r="122" spans="2:21" ht="15.6">
      <c r="B122" s="25"/>
      <c r="C122" s="61" t="s">
        <v>127</v>
      </c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2">
        <f t="shared" si="3"/>
        <v>0</v>
      </c>
      <c r="U122" s="18"/>
    </row>
    <row r="123" spans="2:21" ht="15.6">
      <c r="B123" s="25"/>
      <c r="C123" s="61" t="s">
        <v>128</v>
      </c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2">
        <f t="shared" si="3"/>
        <v>0</v>
      </c>
      <c r="U123" s="18"/>
    </row>
    <row r="124" spans="2:21" ht="15.6">
      <c r="B124" s="25"/>
      <c r="C124" s="61" t="s">
        <v>129</v>
      </c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2"/>
      <c r="U124" s="18"/>
    </row>
    <row r="125" spans="2:21" ht="15.6">
      <c r="B125" s="25"/>
      <c r="C125" s="61" t="s">
        <v>130</v>
      </c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2">
        <f t="shared" si="3"/>
        <v>0</v>
      </c>
      <c r="U125" s="18">
        <f>+T125+U123</f>
        <v>0</v>
      </c>
    </row>
    <row r="126" spans="2:21" ht="16.2" thickBot="1">
      <c r="B126" s="35"/>
      <c r="C126" s="76" t="s">
        <v>131</v>
      </c>
      <c r="D126" s="37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71">
        <f t="shared" ref="T126" si="4">SUM(D126:P126)</f>
        <v>0</v>
      </c>
      <c r="U126" s="72">
        <f t="shared" ref="U126" si="5">+T126+U125</f>
        <v>0</v>
      </c>
    </row>
    <row r="127" spans="2:21" ht="15.6">
      <c r="C127" s="41">
        <f t="shared" ref="C69:C127" si="6">+$B127</f>
        <v>0</v>
      </c>
      <c r="D127" s="42">
        <f>+D3</f>
        <v>7</v>
      </c>
      <c r="E127" s="42">
        <f t="shared" ref="E127:S127" si="7">+E3</f>
        <v>8</v>
      </c>
      <c r="F127" s="42">
        <f t="shared" si="7"/>
        <v>9</v>
      </c>
      <c r="G127" s="42">
        <f t="shared" si="7"/>
        <v>10</v>
      </c>
      <c r="H127" s="42">
        <f t="shared" si="7"/>
        <v>11</v>
      </c>
      <c r="I127" s="42">
        <f t="shared" si="7"/>
        <v>12</v>
      </c>
      <c r="J127" s="42">
        <f t="shared" si="7"/>
        <v>13</v>
      </c>
      <c r="K127" s="42">
        <f t="shared" si="7"/>
        <v>14</v>
      </c>
      <c r="L127" s="42">
        <f t="shared" si="7"/>
        <v>15</v>
      </c>
      <c r="M127" s="42">
        <f t="shared" si="7"/>
        <v>16</v>
      </c>
      <c r="N127" s="42">
        <f t="shared" si="7"/>
        <v>17</v>
      </c>
      <c r="O127" s="42">
        <f t="shared" si="7"/>
        <v>18</v>
      </c>
      <c r="P127" s="42">
        <f t="shared" si="7"/>
        <v>19</v>
      </c>
      <c r="Q127" s="42">
        <f t="shared" si="7"/>
        <v>22</v>
      </c>
      <c r="R127" s="42">
        <f t="shared" si="7"/>
        <v>23</v>
      </c>
      <c r="S127" s="42">
        <f t="shared" si="7"/>
        <v>24</v>
      </c>
      <c r="T127" s="43">
        <f>SUM(T4:T126)</f>
        <v>105453.1</v>
      </c>
      <c r="U127" s="43" t="s">
        <v>3</v>
      </c>
    </row>
    <row r="128" spans="2:21" ht="15.6">
      <c r="C128" s="45" t="s">
        <v>4</v>
      </c>
      <c r="D128" s="73">
        <f t="shared" ref="D128:S128" si="8">SUM(D4:D127)</f>
        <v>35001.800000000003</v>
      </c>
      <c r="E128" s="45">
        <f t="shared" si="8"/>
        <v>154</v>
      </c>
      <c r="F128" s="45">
        <f t="shared" si="8"/>
        <v>5084.3999999999996</v>
      </c>
      <c r="G128" s="45">
        <f t="shared" si="8"/>
        <v>7595</v>
      </c>
      <c r="H128" s="45">
        <f t="shared" si="8"/>
        <v>957.8</v>
      </c>
      <c r="I128" s="45">
        <f t="shared" si="8"/>
        <v>18428</v>
      </c>
      <c r="J128" s="45">
        <f t="shared" si="8"/>
        <v>2690.3</v>
      </c>
      <c r="K128" s="45">
        <f t="shared" si="8"/>
        <v>812.8</v>
      </c>
      <c r="L128" s="45">
        <f t="shared" si="8"/>
        <v>7501.4</v>
      </c>
      <c r="M128" s="45">
        <f t="shared" si="8"/>
        <v>3586.9</v>
      </c>
      <c r="N128" s="45">
        <f t="shared" si="8"/>
        <v>9492.2999999999993</v>
      </c>
      <c r="O128" s="45">
        <f t="shared" si="8"/>
        <v>9018</v>
      </c>
      <c r="P128" s="45">
        <f t="shared" si="8"/>
        <v>3454</v>
      </c>
      <c r="Q128" s="45">
        <f t="shared" si="8"/>
        <v>399.7</v>
      </c>
      <c r="R128" s="45">
        <f t="shared" si="8"/>
        <v>1183</v>
      </c>
      <c r="S128" s="45">
        <f t="shared" si="8"/>
        <v>846.7</v>
      </c>
      <c r="T128" s="47">
        <f>SUM(D128:S128)</f>
        <v>106206.09999999999</v>
      </c>
      <c r="U128" s="48"/>
    </row>
    <row r="129" spans="3:21" ht="15.6">
      <c r="C129" s="50" t="s">
        <v>5</v>
      </c>
      <c r="D129" s="50">
        <v>2132</v>
      </c>
      <c r="E129" s="50">
        <v>514</v>
      </c>
      <c r="F129" s="50">
        <v>383</v>
      </c>
      <c r="G129" s="50">
        <v>1024</v>
      </c>
      <c r="H129" s="50">
        <v>434</v>
      </c>
      <c r="I129" s="50">
        <v>1064</v>
      </c>
      <c r="J129" s="50">
        <v>720</v>
      </c>
      <c r="K129" s="50">
        <v>1064</v>
      </c>
      <c r="L129" s="50">
        <v>944</v>
      </c>
      <c r="M129" s="50">
        <v>1064</v>
      </c>
      <c r="N129" s="50">
        <v>1168</v>
      </c>
      <c r="O129" s="50">
        <v>770</v>
      </c>
      <c r="P129" s="50">
        <v>716</v>
      </c>
      <c r="Q129" s="50">
        <v>210</v>
      </c>
      <c r="R129" s="50">
        <v>310</v>
      </c>
      <c r="S129" s="50">
        <v>210</v>
      </c>
      <c r="T129" s="46">
        <f>SUM(D129:S129)</f>
        <v>12727</v>
      </c>
      <c r="U129" s="51"/>
    </row>
    <row r="130" spans="3:21" ht="15.6">
      <c r="C130" s="53" t="s">
        <v>6</v>
      </c>
      <c r="D130" s="74">
        <f t="shared" ref="D130:S130" si="9">D128/D129</f>
        <v>16.417354596622889</v>
      </c>
      <c r="E130" s="75">
        <f t="shared" si="9"/>
        <v>0.29961089494163423</v>
      </c>
      <c r="F130" s="75">
        <f t="shared" si="9"/>
        <v>13.275195822454307</v>
      </c>
      <c r="G130" s="75">
        <f t="shared" si="9"/>
        <v>7.4169921875</v>
      </c>
      <c r="H130" s="75">
        <f t="shared" si="9"/>
        <v>2.2069124423963133</v>
      </c>
      <c r="I130" s="75">
        <f t="shared" si="9"/>
        <v>17.319548872180452</v>
      </c>
      <c r="J130" s="75">
        <f t="shared" si="9"/>
        <v>3.7365277777777779</v>
      </c>
      <c r="K130" s="54">
        <f t="shared" si="9"/>
        <v>0.76390977443609021</v>
      </c>
      <c r="L130" s="75">
        <f t="shared" si="9"/>
        <v>7.9463983050847453</v>
      </c>
      <c r="M130" s="54">
        <f t="shared" si="9"/>
        <v>3.3711466165413535</v>
      </c>
      <c r="N130" s="54">
        <f t="shared" si="9"/>
        <v>8.1269691780821915</v>
      </c>
      <c r="O130" s="75">
        <f t="shared" si="9"/>
        <v>11.711688311688311</v>
      </c>
      <c r="P130" s="54">
        <f t="shared" si="9"/>
        <v>4.8240223463687153</v>
      </c>
      <c r="Q130" s="54">
        <f t="shared" si="9"/>
        <v>1.9033333333333333</v>
      </c>
      <c r="R130" s="75">
        <f t="shared" si="9"/>
        <v>3.8161290322580643</v>
      </c>
      <c r="S130" s="54">
        <f t="shared" si="9"/>
        <v>4.0319047619047623</v>
      </c>
      <c r="T130" s="56">
        <f>T128/T129</f>
        <v>8.344943820224719</v>
      </c>
      <c r="U130" s="5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CBD6-6A4B-497F-B8CB-936D4479D0BF}">
  <dimension ref="B3:U96"/>
  <sheetViews>
    <sheetView workbookViewId="0">
      <selection sqref="A1:A1048576"/>
    </sheetView>
  </sheetViews>
  <sheetFormatPr defaultRowHeight="14.4"/>
  <sheetData>
    <row r="3" spans="2:21" ht="16.2" thickBot="1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4"/>
      <c r="U3" s="4"/>
    </row>
    <row r="4" spans="2:21" ht="16.2" thickBot="1">
      <c r="B4" s="77"/>
      <c r="C4" s="64">
        <v>2023</v>
      </c>
      <c r="D4" s="8">
        <v>7</v>
      </c>
      <c r="E4" s="8">
        <v>8</v>
      </c>
      <c r="F4" s="8">
        <v>9</v>
      </c>
      <c r="G4" s="8">
        <v>10</v>
      </c>
      <c r="H4" s="8">
        <v>11</v>
      </c>
      <c r="I4" s="8">
        <v>12</v>
      </c>
      <c r="J4" s="8">
        <v>13</v>
      </c>
      <c r="K4" s="8">
        <v>14</v>
      </c>
      <c r="L4" s="8">
        <v>15</v>
      </c>
      <c r="M4" s="8">
        <v>16</v>
      </c>
      <c r="N4" s="8">
        <v>17</v>
      </c>
      <c r="O4" s="8">
        <v>18</v>
      </c>
      <c r="P4" s="8">
        <v>19</v>
      </c>
      <c r="Q4" s="8">
        <v>22</v>
      </c>
      <c r="R4" s="8">
        <v>23</v>
      </c>
      <c r="S4" s="8">
        <v>34</v>
      </c>
      <c r="T4" s="9" t="s">
        <v>2</v>
      </c>
      <c r="U4" s="9" t="s">
        <v>3</v>
      </c>
    </row>
    <row r="5" spans="2:21" ht="15.6">
      <c r="B5" s="83"/>
      <c r="C5" s="132" t="s">
        <v>30</v>
      </c>
      <c r="D5" s="79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1">
        <f>SUM(D5:S5)</f>
        <v>0</v>
      </c>
      <c r="U5" s="82">
        <f>+T5</f>
        <v>0</v>
      </c>
    </row>
    <row r="6" spans="2:21" ht="15.6">
      <c r="B6" s="83"/>
      <c r="C6" s="132" t="s">
        <v>26</v>
      </c>
      <c r="D6" s="84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6">
        <f t="shared" ref="T6:T69" si="0">SUM(D6:S6)</f>
        <v>0</v>
      </c>
      <c r="U6" s="87">
        <f>+T6+U5</f>
        <v>0</v>
      </c>
    </row>
    <row r="7" spans="2:21" ht="15.6">
      <c r="B7" s="83"/>
      <c r="C7" s="132" t="s">
        <v>30</v>
      </c>
      <c r="D7" s="84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6">
        <f t="shared" si="0"/>
        <v>0</v>
      </c>
      <c r="U7" s="87">
        <f t="shared" ref="U7:U70" si="1">+T7+U6</f>
        <v>0</v>
      </c>
    </row>
    <row r="8" spans="2:21" ht="15.6">
      <c r="B8" s="83">
        <v>39</v>
      </c>
      <c r="C8" s="132" t="s">
        <v>37</v>
      </c>
      <c r="D8" s="84"/>
      <c r="E8" s="85"/>
      <c r="F8" s="85"/>
      <c r="G8" s="85"/>
      <c r="H8" s="85"/>
      <c r="I8" s="85"/>
      <c r="J8" s="85"/>
      <c r="K8" s="85">
        <v>70</v>
      </c>
      <c r="L8" s="85"/>
      <c r="M8" s="85">
        <v>20</v>
      </c>
      <c r="N8" s="85"/>
      <c r="O8" s="85"/>
      <c r="P8" s="85"/>
      <c r="Q8" s="85"/>
      <c r="R8" s="85"/>
      <c r="S8" s="85"/>
      <c r="T8" s="86">
        <f t="shared" si="0"/>
        <v>90</v>
      </c>
      <c r="U8" s="87">
        <f t="shared" si="1"/>
        <v>90</v>
      </c>
    </row>
    <row r="9" spans="2:21" ht="15.6">
      <c r="B9" s="83"/>
      <c r="C9" s="132" t="s">
        <v>43</v>
      </c>
      <c r="D9" s="84"/>
      <c r="E9" s="85"/>
      <c r="F9" s="85"/>
      <c r="G9" s="85"/>
      <c r="H9" s="85"/>
      <c r="I9" s="85"/>
      <c r="J9" s="85"/>
      <c r="K9" s="85">
        <v>200</v>
      </c>
      <c r="L9" s="85"/>
      <c r="M9" s="85">
        <v>374</v>
      </c>
      <c r="N9" s="85"/>
      <c r="O9" s="85"/>
      <c r="P9" s="85"/>
      <c r="Q9" s="85"/>
      <c r="R9" s="85"/>
      <c r="S9" s="85"/>
      <c r="T9" s="86">
        <f t="shared" si="0"/>
        <v>574</v>
      </c>
      <c r="U9" s="87">
        <f t="shared" si="1"/>
        <v>664</v>
      </c>
    </row>
    <row r="10" spans="2:21" ht="16.2" thickBot="1">
      <c r="B10" s="35"/>
      <c r="C10" s="132" t="s">
        <v>133</v>
      </c>
      <c r="D10" s="88"/>
      <c r="E10" s="38"/>
      <c r="F10" s="38"/>
      <c r="G10" s="38"/>
      <c r="H10" s="38"/>
      <c r="I10" s="38"/>
      <c r="J10" s="38"/>
      <c r="K10" s="89"/>
      <c r="L10" s="38"/>
      <c r="M10" s="89"/>
      <c r="N10" s="38"/>
      <c r="O10" s="38"/>
      <c r="P10" s="38"/>
      <c r="Q10" s="38"/>
      <c r="R10" s="38"/>
      <c r="S10" s="38"/>
      <c r="T10" s="86">
        <f t="shared" si="0"/>
        <v>0</v>
      </c>
      <c r="U10" s="87">
        <f t="shared" si="1"/>
        <v>664</v>
      </c>
    </row>
    <row r="11" spans="2:21" ht="15.6">
      <c r="B11" s="78"/>
      <c r="C11" s="133" t="s">
        <v>49</v>
      </c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1">
        <f t="shared" si="0"/>
        <v>0</v>
      </c>
      <c r="U11" s="82">
        <f t="shared" si="1"/>
        <v>664</v>
      </c>
    </row>
    <row r="12" spans="2:21" ht="15.6">
      <c r="B12" s="83"/>
      <c r="C12" s="132" t="s">
        <v>50</v>
      </c>
      <c r="D12" s="85"/>
      <c r="E12" s="85"/>
      <c r="F12" s="85"/>
      <c r="G12" s="85"/>
      <c r="H12" s="85"/>
      <c r="I12" s="85"/>
      <c r="J12" s="85"/>
      <c r="K12" s="85">
        <v>420</v>
      </c>
      <c r="L12" s="85"/>
      <c r="M12" s="85">
        <v>688.6</v>
      </c>
      <c r="N12" s="85"/>
      <c r="O12" s="85"/>
      <c r="P12" s="85"/>
      <c r="Q12" s="85"/>
      <c r="R12" s="85"/>
      <c r="S12" s="85"/>
      <c r="T12" s="86">
        <f t="shared" si="0"/>
        <v>1108.5999999999999</v>
      </c>
      <c r="U12" s="87">
        <f t="shared" si="1"/>
        <v>1772.6</v>
      </c>
    </row>
    <row r="13" spans="2:21" ht="15.6">
      <c r="B13" s="83"/>
      <c r="C13" s="132" t="s">
        <v>51</v>
      </c>
      <c r="D13" s="85"/>
      <c r="E13" s="85"/>
      <c r="F13" s="85"/>
      <c r="G13" s="85"/>
      <c r="H13" s="85"/>
      <c r="I13" s="85"/>
      <c r="J13" s="85"/>
      <c r="K13" s="85"/>
      <c r="L13" s="85"/>
      <c r="M13" s="85">
        <v>467.6</v>
      </c>
      <c r="N13" s="85"/>
      <c r="O13" s="85"/>
      <c r="P13" s="85"/>
      <c r="Q13" s="85"/>
      <c r="R13" s="85"/>
      <c r="S13" s="85"/>
      <c r="T13" s="86">
        <f t="shared" si="0"/>
        <v>467.6</v>
      </c>
      <c r="U13" s="87">
        <f t="shared" si="1"/>
        <v>2240.1999999999998</v>
      </c>
    </row>
    <row r="14" spans="2:21" ht="15.6">
      <c r="B14" s="83">
        <v>40</v>
      </c>
      <c r="C14" s="132" t="s">
        <v>52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6">
        <f t="shared" si="0"/>
        <v>0</v>
      </c>
      <c r="U14" s="87">
        <f t="shared" si="1"/>
        <v>2240.1999999999998</v>
      </c>
    </row>
    <row r="15" spans="2:21" ht="15.6">
      <c r="B15" s="83"/>
      <c r="C15" s="132" t="s">
        <v>53</v>
      </c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6">
        <f t="shared" si="0"/>
        <v>0</v>
      </c>
      <c r="U15" s="87">
        <f t="shared" si="1"/>
        <v>2240.1999999999998</v>
      </c>
    </row>
    <row r="16" spans="2:21" ht="15.6">
      <c r="B16" s="83"/>
      <c r="C16" s="132" t="s">
        <v>54</v>
      </c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6">
        <f t="shared" si="0"/>
        <v>0</v>
      </c>
      <c r="U16" s="87">
        <f t="shared" si="1"/>
        <v>2240.1999999999998</v>
      </c>
    </row>
    <row r="17" spans="2:21" ht="16.2" thickBot="1">
      <c r="B17" s="35"/>
      <c r="C17" s="76" t="s">
        <v>55</v>
      </c>
      <c r="D17" s="37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71">
        <f t="shared" si="0"/>
        <v>0</v>
      </c>
      <c r="U17" s="90">
        <f t="shared" si="1"/>
        <v>2240.1999999999998</v>
      </c>
    </row>
    <row r="18" spans="2:21" ht="15.6">
      <c r="B18" s="78"/>
      <c r="C18" s="133" t="s">
        <v>56</v>
      </c>
      <c r="D18" s="80"/>
      <c r="E18" s="80"/>
      <c r="F18" s="80"/>
      <c r="G18" s="80"/>
      <c r="H18" s="80"/>
      <c r="I18" s="80"/>
      <c r="J18" s="80"/>
      <c r="K18" s="80">
        <v>514.20000000000005</v>
      </c>
      <c r="L18" s="80"/>
      <c r="M18" s="80">
        <v>680</v>
      </c>
      <c r="N18" s="80"/>
      <c r="O18" s="80"/>
      <c r="P18" s="80"/>
      <c r="Q18" s="80"/>
      <c r="R18" s="80"/>
      <c r="S18" s="80"/>
      <c r="T18" s="81">
        <f t="shared" si="0"/>
        <v>1194.2</v>
      </c>
      <c r="U18" s="91">
        <f t="shared" si="1"/>
        <v>3434.3999999999996</v>
      </c>
    </row>
    <row r="19" spans="2:21" ht="15.6">
      <c r="B19" s="83"/>
      <c r="C19" s="132" t="s">
        <v>57</v>
      </c>
      <c r="D19" s="85"/>
      <c r="E19" s="85"/>
      <c r="F19" s="85"/>
      <c r="G19" s="85"/>
      <c r="H19" s="85"/>
      <c r="I19" s="85"/>
      <c r="J19" s="85"/>
      <c r="K19" s="85">
        <v>240</v>
      </c>
      <c r="L19" s="85"/>
      <c r="M19" s="85">
        <v>820</v>
      </c>
      <c r="N19" s="85"/>
      <c r="O19" s="85"/>
      <c r="P19" s="85"/>
      <c r="Q19" s="85"/>
      <c r="R19" s="85"/>
      <c r="S19" s="85"/>
      <c r="T19" s="86">
        <f t="shared" si="0"/>
        <v>1060</v>
      </c>
      <c r="U19" s="92">
        <f t="shared" si="1"/>
        <v>4494.3999999999996</v>
      </c>
    </row>
    <row r="20" spans="2:21" ht="15.6">
      <c r="B20" s="83"/>
      <c r="C20" s="132" t="s">
        <v>58</v>
      </c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6">
        <f t="shared" si="0"/>
        <v>0</v>
      </c>
      <c r="U20" s="92">
        <f t="shared" si="1"/>
        <v>4494.3999999999996</v>
      </c>
    </row>
    <row r="21" spans="2:21" ht="15.6">
      <c r="B21" s="83">
        <v>41</v>
      </c>
      <c r="C21" s="132" t="s">
        <v>59</v>
      </c>
      <c r="D21" s="85"/>
      <c r="E21" s="85"/>
      <c r="F21" s="85"/>
      <c r="G21" s="85"/>
      <c r="H21" s="85"/>
      <c r="I21" s="85"/>
      <c r="J21" s="85"/>
      <c r="K21" s="85">
        <v>270</v>
      </c>
      <c r="L21" s="85"/>
      <c r="M21" s="85">
        <v>440</v>
      </c>
      <c r="N21" s="85"/>
      <c r="O21" s="85"/>
      <c r="P21" s="85"/>
      <c r="Q21" s="85"/>
      <c r="R21" s="85"/>
      <c r="S21" s="85"/>
      <c r="T21" s="86">
        <f t="shared" si="0"/>
        <v>710</v>
      </c>
      <c r="U21" s="92">
        <f t="shared" si="1"/>
        <v>5204.3999999999996</v>
      </c>
    </row>
    <row r="22" spans="2:21" ht="15.6">
      <c r="B22" s="83"/>
      <c r="C22" s="132" t="s">
        <v>60</v>
      </c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6">
        <f t="shared" si="0"/>
        <v>0</v>
      </c>
      <c r="U22" s="92">
        <f t="shared" si="1"/>
        <v>5204.3999999999996</v>
      </c>
    </row>
    <row r="23" spans="2:21" ht="15.6">
      <c r="B23" s="83"/>
      <c r="C23" s="132" t="s">
        <v>61</v>
      </c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6">
        <f t="shared" si="0"/>
        <v>0</v>
      </c>
      <c r="U23" s="92">
        <f t="shared" si="1"/>
        <v>5204.3999999999996</v>
      </c>
    </row>
    <row r="24" spans="2:21" ht="16.2" thickBot="1">
      <c r="B24" s="35"/>
      <c r="C24" s="76" t="s">
        <v>62</v>
      </c>
      <c r="D24" s="37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71">
        <f t="shared" si="0"/>
        <v>0</v>
      </c>
      <c r="U24" s="72">
        <f t="shared" si="1"/>
        <v>5204.3999999999996</v>
      </c>
    </row>
    <row r="25" spans="2:21" ht="15.6">
      <c r="B25" s="83"/>
      <c r="C25" s="132" t="s">
        <v>63</v>
      </c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1">
        <f t="shared" si="0"/>
        <v>0</v>
      </c>
      <c r="U25" s="91">
        <f t="shared" si="1"/>
        <v>5204.3999999999996</v>
      </c>
    </row>
    <row r="26" spans="2:21" ht="15.6">
      <c r="B26" s="83"/>
      <c r="C26" s="134" t="s">
        <v>64</v>
      </c>
      <c r="D26" s="85"/>
      <c r="E26" s="85"/>
      <c r="F26" s="85"/>
      <c r="G26" s="85"/>
      <c r="H26" s="85"/>
      <c r="I26" s="85"/>
      <c r="J26" s="85"/>
      <c r="K26" s="85">
        <v>890</v>
      </c>
      <c r="L26" s="85"/>
      <c r="M26" s="85">
        <v>720</v>
      </c>
      <c r="N26" s="85"/>
      <c r="O26" s="85"/>
      <c r="P26" s="85"/>
      <c r="Q26" s="85"/>
      <c r="R26" s="85"/>
      <c r="S26" s="85"/>
      <c r="T26" s="86">
        <f t="shared" si="0"/>
        <v>1610</v>
      </c>
      <c r="U26" s="92">
        <f t="shared" si="1"/>
        <v>6814.4</v>
      </c>
    </row>
    <row r="27" spans="2:21" ht="15.6">
      <c r="B27" s="83"/>
      <c r="C27" s="132" t="s">
        <v>65</v>
      </c>
      <c r="D27" s="85"/>
      <c r="E27" s="85"/>
      <c r="F27" s="85"/>
      <c r="G27" s="85"/>
      <c r="H27" s="85"/>
      <c r="I27" s="85"/>
      <c r="J27" s="85"/>
      <c r="K27" s="85">
        <v>460</v>
      </c>
      <c r="L27" s="85"/>
      <c r="M27" s="85">
        <v>50</v>
      </c>
      <c r="N27" s="85"/>
      <c r="O27" s="85"/>
      <c r="P27" s="85"/>
      <c r="Q27" s="85"/>
      <c r="R27" s="85"/>
      <c r="S27" s="85"/>
      <c r="T27" s="86">
        <f t="shared" si="0"/>
        <v>510</v>
      </c>
      <c r="U27" s="92">
        <f t="shared" si="1"/>
        <v>7324.4</v>
      </c>
    </row>
    <row r="28" spans="2:21" ht="15.6">
      <c r="B28" s="83">
        <v>42</v>
      </c>
      <c r="C28" s="132" t="s">
        <v>66</v>
      </c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6">
        <f t="shared" si="0"/>
        <v>0</v>
      </c>
      <c r="U28" s="92">
        <f t="shared" si="1"/>
        <v>7324.4</v>
      </c>
    </row>
    <row r="29" spans="2:21" ht="15.6">
      <c r="B29" s="83"/>
      <c r="C29" s="132" t="s">
        <v>67</v>
      </c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6">
        <f t="shared" si="0"/>
        <v>0</v>
      </c>
      <c r="U29" s="92">
        <f t="shared" si="1"/>
        <v>7324.4</v>
      </c>
    </row>
    <row r="30" spans="2:21" ht="15.6">
      <c r="B30" s="83"/>
      <c r="C30" s="132" t="s">
        <v>68</v>
      </c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6">
        <f t="shared" si="0"/>
        <v>0</v>
      </c>
      <c r="U30" s="92">
        <f t="shared" si="1"/>
        <v>7324.4</v>
      </c>
    </row>
    <row r="31" spans="2:21" ht="16.2" thickBot="1">
      <c r="B31" s="135"/>
      <c r="C31" s="132" t="s">
        <v>69</v>
      </c>
      <c r="D31" s="37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71">
        <f t="shared" si="0"/>
        <v>0</v>
      </c>
      <c r="U31" s="72">
        <f t="shared" si="1"/>
        <v>7324.4</v>
      </c>
    </row>
    <row r="32" spans="2:21" ht="15.6">
      <c r="B32" s="78"/>
      <c r="C32" s="133" t="s">
        <v>70</v>
      </c>
      <c r="D32" s="80"/>
      <c r="E32" s="80"/>
      <c r="F32" s="80"/>
      <c r="G32" s="80"/>
      <c r="H32" s="80"/>
      <c r="I32" s="80"/>
      <c r="J32" s="80"/>
      <c r="K32" s="80">
        <v>140</v>
      </c>
      <c r="L32" s="80"/>
      <c r="M32" s="80">
        <v>1150</v>
      </c>
      <c r="N32" s="80"/>
      <c r="O32" s="80">
        <v>2.5</v>
      </c>
      <c r="P32" s="80" t="s">
        <v>132</v>
      </c>
      <c r="Q32" s="80"/>
      <c r="R32" s="80"/>
      <c r="S32" s="80"/>
      <c r="T32" s="86">
        <f t="shared" si="0"/>
        <v>1292.5</v>
      </c>
      <c r="U32" s="87">
        <f t="shared" si="1"/>
        <v>8616.9</v>
      </c>
    </row>
    <row r="33" spans="2:21" ht="15.6">
      <c r="B33" s="83"/>
      <c r="C33" s="132" t="s">
        <v>71</v>
      </c>
      <c r="D33" s="85"/>
      <c r="E33" s="85"/>
      <c r="F33" s="85"/>
      <c r="G33" s="85"/>
      <c r="H33" s="85"/>
      <c r="I33" s="85"/>
      <c r="J33" s="85"/>
      <c r="K33" s="85">
        <v>740</v>
      </c>
      <c r="L33" s="85"/>
      <c r="M33" s="85">
        <v>90</v>
      </c>
      <c r="N33" s="85"/>
      <c r="O33" s="85"/>
      <c r="P33" s="85"/>
      <c r="Q33" s="85"/>
      <c r="R33" s="85"/>
      <c r="S33" s="85"/>
      <c r="T33" s="86">
        <f t="shared" si="0"/>
        <v>830</v>
      </c>
      <c r="U33" s="87">
        <f t="shared" si="1"/>
        <v>9446.9</v>
      </c>
    </row>
    <row r="34" spans="2:21" ht="15.6">
      <c r="B34" s="83"/>
      <c r="C34" s="132" t="s">
        <v>72</v>
      </c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6">
        <f t="shared" si="0"/>
        <v>0</v>
      </c>
      <c r="U34" s="87">
        <f t="shared" si="1"/>
        <v>9446.9</v>
      </c>
    </row>
    <row r="35" spans="2:21" ht="15.6">
      <c r="B35" s="83">
        <v>43</v>
      </c>
      <c r="C35" s="132" t="s">
        <v>73</v>
      </c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6">
        <f t="shared" si="0"/>
        <v>0</v>
      </c>
      <c r="U35" s="87">
        <f t="shared" si="1"/>
        <v>9446.9</v>
      </c>
    </row>
    <row r="36" spans="2:21" ht="15.6">
      <c r="B36" s="83"/>
      <c r="C36" s="132" t="s">
        <v>74</v>
      </c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6">
        <f t="shared" si="0"/>
        <v>0</v>
      </c>
      <c r="U36" s="87">
        <f t="shared" si="1"/>
        <v>9446.9</v>
      </c>
    </row>
    <row r="37" spans="2:21" ht="15.6">
      <c r="B37" s="135"/>
      <c r="C37" s="132" t="s">
        <v>75</v>
      </c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6">
        <f t="shared" si="0"/>
        <v>0</v>
      </c>
      <c r="U37" s="87">
        <f t="shared" si="1"/>
        <v>9446.9</v>
      </c>
    </row>
    <row r="38" spans="2:21" ht="16.2" thickBot="1">
      <c r="B38" s="83"/>
      <c r="C38" s="132" t="s">
        <v>76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86">
        <f t="shared" si="0"/>
        <v>0</v>
      </c>
      <c r="U38" s="87">
        <f t="shared" si="1"/>
        <v>9446.9</v>
      </c>
    </row>
    <row r="39" spans="2:21" ht="15.6">
      <c r="B39" s="93"/>
      <c r="C39" s="136" t="s">
        <v>77</v>
      </c>
      <c r="D39" s="94"/>
      <c r="E39" s="94"/>
      <c r="F39" s="94"/>
      <c r="G39" s="94">
        <v>21</v>
      </c>
      <c r="H39" s="94"/>
      <c r="I39" s="94"/>
      <c r="J39" s="94">
        <v>36.9</v>
      </c>
      <c r="K39" s="94">
        <v>680</v>
      </c>
      <c r="L39" s="94"/>
      <c r="M39" s="94">
        <v>750</v>
      </c>
      <c r="N39" s="94">
        <v>10.9</v>
      </c>
      <c r="O39" s="94">
        <v>30</v>
      </c>
      <c r="P39" s="94">
        <v>140</v>
      </c>
      <c r="Q39" s="94">
        <v>90</v>
      </c>
      <c r="R39" s="94">
        <v>49</v>
      </c>
      <c r="S39" s="94"/>
      <c r="T39" s="95">
        <f t="shared" si="0"/>
        <v>1807.8000000000002</v>
      </c>
      <c r="U39" s="82">
        <f t="shared" si="1"/>
        <v>11254.7</v>
      </c>
    </row>
    <row r="40" spans="2:21" ht="15.6">
      <c r="B40" s="96"/>
      <c r="C40" s="137" t="s">
        <v>78</v>
      </c>
      <c r="D40" s="97"/>
      <c r="E40" s="97"/>
      <c r="F40" s="97"/>
      <c r="G40" s="97">
        <v>10</v>
      </c>
      <c r="H40" s="97"/>
      <c r="I40" s="97"/>
      <c r="J40" s="97"/>
      <c r="K40" s="97">
        <v>300</v>
      </c>
      <c r="L40" s="97"/>
      <c r="M40" s="97">
        <v>380</v>
      </c>
      <c r="N40" s="97">
        <v>60</v>
      </c>
      <c r="O40" s="97">
        <v>30</v>
      </c>
      <c r="P40" s="97">
        <v>80</v>
      </c>
      <c r="Q40" s="97">
        <v>90</v>
      </c>
      <c r="R40" s="97">
        <v>80</v>
      </c>
      <c r="S40" s="97">
        <v>20</v>
      </c>
      <c r="T40" s="98">
        <f t="shared" si="0"/>
        <v>1050</v>
      </c>
      <c r="U40" s="87">
        <f t="shared" si="1"/>
        <v>12304.7</v>
      </c>
    </row>
    <row r="41" spans="2:21" ht="15.6">
      <c r="B41" s="96"/>
      <c r="C41" s="137" t="s">
        <v>79</v>
      </c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8">
        <f t="shared" si="0"/>
        <v>0</v>
      </c>
      <c r="U41" s="87">
        <f t="shared" si="1"/>
        <v>12304.7</v>
      </c>
    </row>
    <row r="42" spans="2:21" ht="15.6">
      <c r="B42" s="96">
        <v>44</v>
      </c>
      <c r="C42" s="137" t="s">
        <v>80</v>
      </c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8">
        <f t="shared" si="0"/>
        <v>0</v>
      </c>
      <c r="U42" s="87">
        <f t="shared" si="1"/>
        <v>12304.7</v>
      </c>
    </row>
    <row r="43" spans="2:21" ht="15.6">
      <c r="B43" s="96"/>
      <c r="C43" s="137" t="s">
        <v>81</v>
      </c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8">
        <f t="shared" si="0"/>
        <v>0</v>
      </c>
      <c r="U43" s="87">
        <f t="shared" si="1"/>
        <v>12304.7</v>
      </c>
    </row>
    <row r="44" spans="2:21" ht="15.6">
      <c r="B44" s="138"/>
      <c r="C44" s="137" t="s">
        <v>82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8">
        <f t="shared" si="0"/>
        <v>0</v>
      </c>
      <c r="U44" s="87">
        <f t="shared" si="1"/>
        <v>12304.7</v>
      </c>
    </row>
    <row r="45" spans="2:21" ht="16.2" thickBot="1">
      <c r="B45" s="99"/>
      <c r="C45" s="139" t="s">
        <v>83</v>
      </c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98">
        <f t="shared" si="0"/>
        <v>0</v>
      </c>
      <c r="U45" s="87">
        <f t="shared" si="1"/>
        <v>12304.7</v>
      </c>
    </row>
    <row r="46" spans="2:21" ht="15.6">
      <c r="B46" s="93"/>
      <c r="C46" s="136" t="s">
        <v>84</v>
      </c>
      <c r="D46" s="94">
        <v>460</v>
      </c>
      <c r="E46" s="94">
        <f>20+120</f>
        <v>140</v>
      </c>
      <c r="F46" s="94"/>
      <c r="G46" s="94">
        <v>510</v>
      </c>
      <c r="H46" s="94"/>
      <c r="I46" s="94"/>
      <c r="J46" s="94"/>
      <c r="K46" s="94">
        <v>57</v>
      </c>
      <c r="L46" s="94"/>
      <c r="M46" s="94">
        <v>80</v>
      </c>
      <c r="N46" s="94">
        <v>171</v>
      </c>
      <c r="O46" s="94">
        <v>120</v>
      </c>
      <c r="P46" s="94"/>
      <c r="Q46" s="94">
        <v>200</v>
      </c>
      <c r="R46" s="94">
        <v>180</v>
      </c>
      <c r="S46" s="94">
        <v>420</v>
      </c>
      <c r="T46" s="95">
        <f t="shared" si="0"/>
        <v>2338</v>
      </c>
      <c r="U46" s="101">
        <f t="shared" si="1"/>
        <v>14642.7</v>
      </c>
    </row>
    <row r="47" spans="2:21" ht="15.6">
      <c r="B47" s="96"/>
      <c r="C47" s="137" t="s">
        <v>85</v>
      </c>
      <c r="D47" s="97"/>
      <c r="E47" s="97">
        <v>80</v>
      </c>
      <c r="F47" s="97"/>
      <c r="G47" s="97"/>
      <c r="H47" s="97"/>
      <c r="I47" s="97"/>
      <c r="J47" s="97"/>
      <c r="K47" s="97">
        <v>140</v>
      </c>
      <c r="L47" s="97"/>
      <c r="M47" s="97">
        <v>396.4</v>
      </c>
      <c r="N47" s="97"/>
      <c r="O47" s="97"/>
      <c r="P47" s="97"/>
      <c r="Q47" s="97"/>
      <c r="R47" s="97"/>
      <c r="S47" s="97"/>
      <c r="T47" s="98">
        <f t="shared" si="0"/>
        <v>616.4</v>
      </c>
      <c r="U47" s="102">
        <f t="shared" si="1"/>
        <v>15259.1</v>
      </c>
    </row>
    <row r="48" spans="2:21" ht="15.6">
      <c r="B48" s="96"/>
      <c r="C48" s="137" t="s">
        <v>86</v>
      </c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8">
        <f t="shared" si="0"/>
        <v>0</v>
      </c>
      <c r="U48" s="102">
        <f t="shared" si="1"/>
        <v>15259.1</v>
      </c>
    </row>
    <row r="49" spans="2:21" ht="15.6">
      <c r="B49" s="96">
        <v>45</v>
      </c>
      <c r="C49" s="137" t="s">
        <v>87</v>
      </c>
      <c r="D49" s="97"/>
      <c r="E49" s="97">
        <f>30+20</f>
        <v>50</v>
      </c>
      <c r="F49" s="97"/>
      <c r="G49" s="97">
        <v>400</v>
      </c>
      <c r="H49" s="97"/>
      <c r="I49" s="97"/>
      <c r="J49" s="97"/>
      <c r="K49" s="97"/>
      <c r="L49" s="97"/>
      <c r="M49" s="97">
        <v>198.2</v>
      </c>
      <c r="N49" s="97">
        <v>340</v>
      </c>
      <c r="O49" s="97"/>
      <c r="P49" s="97">
        <v>820</v>
      </c>
      <c r="Q49" s="97">
        <v>200</v>
      </c>
      <c r="R49" s="97">
        <v>207.5</v>
      </c>
      <c r="S49" s="97">
        <v>490</v>
      </c>
      <c r="T49" s="98">
        <f t="shared" si="0"/>
        <v>2705.7</v>
      </c>
      <c r="U49" s="102">
        <f t="shared" si="1"/>
        <v>17964.8</v>
      </c>
    </row>
    <row r="50" spans="2:21" ht="15.6">
      <c r="B50" s="138"/>
      <c r="C50" s="137" t="s">
        <v>88</v>
      </c>
      <c r="D50" s="97"/>
      <c r="E50" s="97"/>
      <c r="F50" s="97"/>
      <c r="G50" s="97"/>
      <c r="H50" s="97"/>
      <c r="I50" s="97"/>
      <c r="J50" s="97"/>
      <c r="K50" s="97"/>
      <c r="L50" s="97"/>
      <c r="M50" s="97">
        <v>38.5</v>
      </c>
      <c r="N50" s="97"/>
      <c r="O50" s="97"/>
      <c r="P50" s="97"/>
      <c r="Q50" s="97"/>
      <c r="R50" s="97"/>
      <c r="S50" s="97"/>
      <c r="T50" s="98">
        <f t="shared" si="0"/>
        <v>38.5</v>
      </c>
      <c r="U50" s="102">
        <f t="shared" si="1"/>
        <v>18003.3</v>
      </c>
    </row>
    <row r="51" spans="2:21" ht="15.6">
      <c r="B51" s="96"/>
      <c r="C51" s="137" t="s">
        <v>89</v>
      </c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8">
        <f t="shared" si="0"/>
        <v>0</v>
      </c>
      <c r="U51" s="102">
        <f t="shared" si="1"/>
        <v>18003.3</v>
      </c>
    </row>
    <row r="52" spans="2:21" ht="16.2" thickBot="1">
      <c r="B52" s="99"/>
      <c r="C52" s="139" t="s">
        <v>90</v>
      </c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3">
        <f t="shared" si="0"/>
        <v>0</v>
      </c>
      <c r="U52" s="104">
        <f t="shared" si="1"/>
        <v>18003.3</v>
      </c>
    </row>
    <row r="53" spans="2:21" ht="15.6">
      <c r="B53" s="93"/>
      <c r="C53" s="136" t="s">
        <v>91</v>
      </c>
      <c r="D53" s="94"/>
      <c r="E53" s="94">
        <f>80+180</f>
        <v>260</v>
      </c>
      <c r="F53" s="94"/>
      <c r="G53" s="94">
        <v>752.1</v>
      </c>
      <c r="H53" s="94"/>
      <c r="I53" s="94"/>
      <c r="J53" s="94"/>
      <c r="K53" s="94"/>
      <c r="L53" s="94"/>
      <c r="M53" s="94"/>
      <c r="N53" s="94"/>
      <c r="O53" s="94">
        <v>60</v>
      </c>
      <c r="P53" s="94">
        <f>740+100</f>
        <v>840</v>
      </c>
      <c r="Q53" s="94"/>
      <c r="R53" s="94"/>
      <c r="S53" s="94">
        <v>1048</v>
      </c>
      <c r="T53" s="95">
        <f t="shared" si="0"/>
        <v>2960.1</v>
      </c>
      <c r="U53" s="105">
        <f t="shared" si="1"/>
        <v>20963.399999999998</v>
      </c>
    </row>
    <row r="54" spans="2:21" ht="15.6">
      <c r="B54" s="96"/>
      <c r="C54" s="137" t="s">
        <v>92</v>
      </c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8">
        <f t="shared" si="0"/>
        <v>0</v>
      </c>
      <c r="U54" s="106">
        <f t="shared" si="1"/>
        <v>20963.399999999998</v>
      </c>
    </row>
    <row r="55" spans="2:21" ht="15.6">
      <c r="B55" s="96"/>
      <c r="C55" s="137" t="s">
        <v>93</v>
      </c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8">
        <f t="shared" si="0"/>
        <v>0</v>
      </c>
      <c r="U55" s="106">
        <f t="shared" si="1"/>
        <v>20963.399999999998</v>
      </c>
    </row>
    <row r="56" spans="2:21" ht="15.6">
      <c r="B56" s="96">
        <v>46</v>
      </c>
      <c r="C56" s="137" t="s">
        <v>94</v>
      </c>
      <c r="D56" s="97"/>
      <c r="E56" s="97"/>
      <c r="F56" s="97"/>
      <c r="G56" s="97">
        <f>1327.5+354.8</f>
        <v>1682.3</v>
      </c>
      <c r="H56" s="97"/>
      <c r="I56" s="97"/>
      <c r="J56" s="97"/>
      <c r="K56" s="97"/>
      <c r="L56" s="97"/>
      <c r="M56" s="97"/>
      <c r="N56" s="97">
        <v>1080</v>
      </c>
      <c r="O56" s="97"/>
      <c r="P56" s="97"/>
      <c r="Q56" s="97"/>
      <c r="R56" s="97"/>
      <c r="S56" s="97"/>
      <c r="T56" s="98">
        <f t="shared" si="0"/>
        <v>2762.3</v>
      </c>
      <c r="U56" s="106">
        <f t="shared" si="1"/>
        <v>23725.699999999997</v>
      </c>
    </row>
    <row r="57" spans="2:21" ht="15.6">
      <c r="B57" s="138"/>
      <c r="C57" s="137" t="s">
        <v>95</v>
      </c>
      <c r="D57" s="97"/>
      <c r="E57" s="97"/>
      <c r="F57" s="97"/>
      <c r="G57" s="97">
        <f>660+300</f>
        <v>960</v>
      </c>
      <c r="H57" s="97"/>
      <c r="I57" s="97"/>
      <c r="J57" s="97"/>
      <c r="K57" s="97"/>
      <c r="L57" s="97"/>
      <c r="M57" s="97"/>
      <c r="N57" s="97">
        <v>860</v>
      </c>
      <c r="O57" s="97"/>
      <c r="P57" s="97">
        <v>200</v>
      </c>
      <c r="Q57" s="97"/>
      <c r="R57" s="97"/>
      <c r="S57" s="97"/>
      <c r="T57" s="98">
        <f t="shared" si="0"/>
        <v>2020</v>
      </c>
      <c r="U57" s="106">
        <f t="shared" si="1"/>
        <v>25745.699999999997</v>
      </c>
    </row>
    <row r="58" spans="2:21" ht="15.6">
      <c r="B58" s="96"/>
      <c r="C58" s="137" t="s">
        <v>96</v>
      </c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8">
        <f t="shared" si="0"/>
        <v>0</v>
      </c>
      <c r="U58" s="106">
        <f t="shared" si="1"/>
        <v>25745.699999999997</v>
      </c>
    </row>
    <row r="59" spans="2:21" ht="16.2" thickBot="1">
      <c r="B59" s="99"/>
      <c r="C59" s="139" t="s">
        <v>98</v>
      </c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3">
        <f t="shared" si="0"/>
        <v>0</v>
      </c>
      <c r="U59" s="107">
        <f t="shared" si="1"/>
        <v>25745.699999999997</v>
      </c>
    </row>
    <row r="60" spans="2:21" ht="15.6">
      <c r="B60" s="93"/>
      <c r="C60" s="136" t="s">
        <v>99</v>
      </c>
      <c r="D60" s="94">
        <f>360+370</f>
        <v>730</v>
      </c>
      <c r="E60" s="94">
        <v>240</v>
      </c>
      <c r="F60" s="94"/>
      <c r="G60" s="94">
        <v>749.4</v>
      </c>
      <c r="H60" s="94"/>
      <c r="I60" s="94"/>
      <c r="J60" s="94"/>
      <c r="K60" s="94"/>
      <c r="L60" s="94"/>
      <c r="M60" s="94"/>
      <c r="N60" s="94">
        <v>1360</v>
      </c>
      <c r="O60" s="94"/>
      <c r="P60" s="94">
        <v>1073.8</v>
      </c>
      <c r="Q60" s="94"/>
      <c r="R60" s="94"/>
      <c r="S60" s="94"/>
      <c r="T60" s="95">
        <f t="shared" si="0"/>
        <v>4153.2</v>
      </c>
      <c r="U60" s="108">
        <f t="shared" si="1"/>
        <v>29898.899999999998</v>
      </c>
    </row>
    <row r="61" spans="2:21" ht="15.6">
      <c r="B61" s="96"/>
      <c r="C61" s="137" t="s">
        <v>100</v>
      </c>
      <c r="D61" s="97"/>
      <c r="E61" s="97">
        <v>40</v>
      </c>
      <c r="F61" s="97"/>
      <c r="G61" s="97">
        <f>20+646.3+1380</f>
        <v>2046.3</v>
      </c>
      <c r="H61" s="97"/>
      <c r="I61" s="97"/>
      <c r="J61" s="97"/>
      <c r="K61" s="97"/>
      <c r="L61" s="97"/>
      <c r="M61" s="97"/>
      <c r="N61" s="97">
        <f>1405+740</f>
        <v>2145</v>
      </c>
      <c r="O61" s="97"/>
      <c r="P61" s="97">
        <v>226.3</v>
      </c>
      <c r="Q61" s="97"/>
      <c r="R61" s="97"/>
      <c r="S61" s="97"/>
      <c r="T61" s="98">
        <f t="shared" si="0"/>
        <v>4457.6000000000004</v>
      </c>
      <c r="U61" s="109">
        <f t="shared" si="1"/>
        <v>34356.5</v>
      </c>
    </row>
    <row r="62" spans="2:21" ht="15.6">
      <c r="B62" s="96"/>
      <c r="C62" s="137" t="s">
        <v>101</v>
      </c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8">
        <f t="shared" si="0"/>
        <v>0</v>
      </c>
      <c r="U62" s="109">
        <f t="shared" si="1"/>
        <v>34356.5</v>
      </c>
    </row>
    <row r="63" spans="2:21" ht="15.6">
      <c r="B63" s="96">
        <v>47</v>
      </c>
      <c r="C63" s="137" t="s">
        <v>102</v>
      </c>
      <c r="D63" s="97">
        <v>475.8</v>
      </c>
      <c r="E63" s="97"/>
      <c r="F63" s="97"/>
      <c r="G63" s="97">
        <v>380</v>
      </c>
      <c r="H63" s="97"/>
      <c r="I63" s="97"/>
      <c r="J63" s="97"/>
      <c r="K63" s="97"/>
      <c r="L63" s="97"/>
      <c r="M63" s="97"/>
      <c r="N63" s="97">
        <f>940+500</f>
        <v>1440</v>
      </c>
      <c r="O63" s="97"/>
      <c r="P63" s="97">
        <v>160</v>
      </c>
      <c r="Q63" s="97"/>
      <c r="R63" s="97"/>
      <c r="S63" s="97"/>
      <c r="T63" s="98">
        <f t="shared" si="0"/>
        <v>2455.8000000000002</v>
      </c>
      <c r="U63" s="109">
        <f t="shared" si="1"/>
        <v>36812.300000000003</v>
      </c>
    </row>
    <row r="64" spans="2:21" ht="15.6">
      <c r="B64" s="138"/>
      <c r="C64" s="137" t="s">
        <v>103</v>
      </c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8">
        <f t="shared" si="0"/>
        <v>0</v>
      </c>
      <c r="U64" s="109">
        <f t="shared" si="1"/>
        <v>36812.300000000003</v>
      </c>
    </row>
    <row r="65" spans="2:21" ht="15.6">
      <c r="B65" s="96"/>
      <c r="C65" s="137" t="s">
        <v>104</v>
      </c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8">
        <f t="shared" si="0"/>
        <v>0</v>
      </c>
      <c r="U65" s="109">
        <f t="shared" si="1"/>
        <v>36812.300000000003</v>
      </c>
    </row>
    <row r="66" spans="2:21" ht="16.2" thickBot="1">
      <c r="B66" s="99"/>
      <c r="C66" s="139" t="s">
        <v>105</v>
      </c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3">
        <f t="shared" si="0"/>
        <v>0</v>
      </c>
      <c r="U66" s="110">
        <f t="shared" si="1"/>
        <v>36812.300000000003</v>
      </c>
    </row>
    <row r="67" spans="2:21" ht="15.6">
      <c r="B67" s="93"/>
      <c r="C67" s="136" t="s">
        <v>106</v>
      </c>
      <c r="D67" s="94"/>
      <c r="E67" s="94">
        <v>1065</v>
      </c>
      <c r="F67" s="94">
        <v>126.2</v>
      </c>
      <c r="G67" s="94">
        <v>570</v>
      </c>
      <c r="H67" s="94"/>
      <c r="I67" s="94"/>
      <c r="J67" s="94"/>
      <c r="K67" s="94"/>
      <c r="L67" s="94"/>
      <c r="M67" s="94"/>
      <c r="N67" s="94">
        <v>380</v>
      </c>
      <c r="O67" s="94">
        <v>1500</v>
      </c>
      <c r="P67" s="94">
        <v>1240</v>
      </c>
      <c r="Q67" s="94">
        <v>165</v>
      </c>
      <c r="R67" s="94">
        <v>160</v>
      </c>
      <c r="S67" s="94">
        <v>85</v>
      </c>
      <c r="T67" s="95">
        <f t="shared" si="0"/>
        <v>5291.2</v>
      </c>
      <c r="U67" s="82">
        <f t="shared" si="1"/>
        <v>42103.5</v>
      </c>
    </row>
    <row r="68" spans="2:21" ht="15.6">
      <c r="B68" s="96"/>
      <c r="C68" s="137" t="s">
        <v>107</v>
      </c>
      <c r="D68" s="97"/>
      <c r="E68" s="97"/>
      <c r="F68" s="97"/>
      <c r="G68" s="97">
        <v>640</v>
      </c>
      <c r="H68" s="97">
        <v>1620</v>
      </c>
      <c r="I68" s="97"/>
      <c r="J68" s="97">
        <v>1260</v>
      </c>
      <c r="K68" s="97"/>
      <c r="L68" s="97">
        <v>440</v>
      </c>
      <c r="M68" s="97"/>
      <c r="N68" s="97">
        <v>1354</v>
      </c>
      <c r="O68" s="97"/>
      <c r="P68" s="97"/>
      <c r="Q68" s="97"/>
      <c r="R68" s="97"/>
      <c r="S68" s="97"/>
      <c r="T68" s="98">
        <f t="shared" si="0"/>
        <v>5314</v>
      </c>
      <c r="U68" s="87">
        <f t="shared" si="1"/>
        <v>47417.5</v>
      </c>
    </row>
    <row r="69" spans="2:21" ht="15.6">
      <c r="B69" s="96"/>
      <c r="C69" s="137" t="s">
        <v>108</v>
      </c>
      <c r="D69" s="97"/>
      <c r="E69" s="97">
        <v>140</v>
      </c>
      <c r="F69" s="97"/>
      <c r="G69" s="97"/>
      <c r="H69" s="97"/>
      <c r="I69" s="97"/>
      <c r="J69" s="97"/>
      <c r="K69" s="97">
        <v>200</v>
      </c>
      <c r="L69" s="97">
        <v>520</v>
      </c>
      <c r="M69" s="97">
        <f>340+330</f>
        <v>670</v>
      </c>
      <c r="N69" s="97">
        <v>880</v>
      </c>
      <c r="O69" s="97">
        <f>180+76.6</f>
        <v>256.60000000000002</v>
      </c>
      <c r="P69" s="97"/>
      <c r="Q69" s="97"/>
      <c r="R69" s="97"/>
      <c r="S69" s="97"/>
      <c r="T69" s="98">
        <f t="shared" si="0"/>
        <v>2666.6</v>
      </c>
      <c r="U69" s="87">
        <f t="shared" si="1"/>
        <v>50084.1</v>
      </c>
    </row>
    <row r="70" spans="2:21" ht="15.6">
      <c r="B70" s="96">
        <v>48</v>
      </c>
      <c r="C70" s="137" t="s">
        <v>109</v>
      </c>
      <c r="D70" s="97">
        <v>1040</v>
      </c>
      <c r="E70" s="97"/>
      <c r="F70" s="97"/>
      <c r="G70" s="97">
        <v>320</v>
      </c>
      <c r="H70" s="97">
        <v>520</v>
      </c>
      <c r="I70" s="97">
        <f>720+1307</f>
        <v>2027</v>
      </c>
      <c r="J70" s="97">
        <f>440+150</f>
        <v>590</v>
      </c>
      <c r="K70" s="97"/>
      <c r="L70" s="97"/>
      <c r="M70" s="97"/>
      <c r="N70" s="97"/>
      <c r="O70" s="97">
        <v>2960</v>
      </c>
      <c r="P70" s="97"/>
      <c r="Q70" s="97"/>
      <c r="R70" s="97"/>
      <c r="S70" s="97"/>
      <c r="T70" s="98">
        <f t="shared" ref="T70:T91" si="2">SUM(D70:S70)</f>
        <v>7457</v>
      </c>
      <c r="U70" s="87">
        <f t="shared" si="1"/>
        <v>57541.1</v>
      </c>
    </row>
    <row r="71" spans="2:21" ht="15.6">
      <c r="B71" s="138"/>
      <c r="C71" s="137" t="s">
        <v>110</v>
      </c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8">
        <f t="shared" si="2"/>
        <v>0</v>
      </c>
      <c r="U71" s="87">
        <f t="shared" ref="U71:U85" si="3">+T71+U70</f>
        <v>57541.1</v>
      </c>
    </row>
    <row r="72" spans="2:21" ht="15.6">
      <c r="B72" s="96"/>
      <c r="C72" s="137" t="s">
        <v>111</v>
      </c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8">
        <f t="shared" si="2"/>
        <v>0</v>
      </c>
      <c r="U72" s="87">
        <f t="shared" si="3"/>
        <v>57541.1</v>
      </c>
    </row>
    <row r="73" spans="2:21" ht="16.2" thickBot="1">
      <c r="B73" s="99"/>
      <c r="C73" s="139" t="s">
        <v>112</v>
      </c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3">
        <f t="shared" si="2"/>
        <v>0</v>
      </c>
      <c r="U73" s="90">
        <f t="shared" si="3"/>
        <v>57541.1</v>
      </c>
    </row>
    <row r="74" spans="2:21" ht="15.6">
      <c r="B74" s="93"/>
      <c r="C74" s="136" t="s">
        <v>113</v>
      </c>
      <c r="D74" s="94">
        <f>1900+180</f>
        <v>2080</v>
      </c>
      <c r="E74" s="94">
        <v>1020</v>
      </c>
      <c r="F74" s="94">
        <v>1537.1</v>
      </c>
      <c r="G74" s="94"/>
      <c r="H74" s="94">
        <v>2830</v>
      </c>
      <c r="I74" s="94"/>
      <c r="J74" s="94"/>
      <c r="K74" s="94"/>
      <c r="L74" s="94"/>
      <c r="M74" s="94"/>
      <c r="N74" s="94"/>
      <c r="O74" s="94">
        <v>2860</v>
      </c>
      <c r="P74" s="94">
        <v>3040</v>
      </c>
      <c r="Q74" s="94"/>
      <c r="R74" s="94"/>
      <c r="S74" s="94"/>
      <c r="T74" s="95">
        <f t="shared" si="2"/>
        <v>13367.1</v>
      </c>
      <c r="U74" s="82">
        <f t="shared" si="3"/>
        <v>70908.2</v>
      </c>
    </row>
    <row r="75" spans="2:21" ht="15.6">
      <c r="B75" s="96"/>
      <c r="C75" s="137" t="s">
        <v>114</v>
      </c>
      <c r="D75" s="97"/>
      <c r="E75" s="97"/>
      <c r="F75" s="97">
        <v>1248</v>
      </c>
      <c r="G75" s="97"/>
      <c r="H75" s="97"/>
      <c r="I75" s="97"/>
      <c r="J75" s="97">
        <v>5180</v>
      </c>
      <c r="K75" s="97"/>
      <c r="L75" s="97"/>
      <c r="M75" s="97"/>
      <c r="N75" s="97"/>
      <c r="O75" s="97">
        <f>100+100</f>
        <v>200</v>
      </c>
      <c r="P75" s="97">
        <v>5900</v>
      </c>
      <c r="Q75" s="97"/>
      <c r="R75" s="97"/>
      <c r="S75" s="97"/>
      <c r="T75" s="111">
        <f t="shared" si="2"/>
        <v>12528</v>
      </c>
      <c r="U75" s="87">
        <f t="shared" si="3"/>
        <v>83436.2</v>
      </c>
    </row>
    <row r="76" spans="2:21" ht="15.6">
      <c r="B76" s="96"/>
      <c r="C76" s="137" t="s">
        <v>115</v>
      </c>
      <c r="D76" s="97"/>
      <c r="E76" s="97">
        <v>480</v>
      </c>
      <c r="F76" s="97">
        <v>1380</v>
      </c>
      <c r="G76" s="97"/>
      <c r="H76" s="97"/>
      <c r="I76" s="97"/>
      <c r="J76" s="97"/>
      <c r="K76" s="97">
        <v>300</v>
      </c>
      <c r="L76" s="97"/>
      <c r="M76" s="97">
        <v>300</v>
      </c>
      <c r="N76" s="97">
        <v>8610</v>
      </c>
      <c r="O76" s="97"/>
      <c r="P76" s="97">
        <v>6180</v>
      </c>
      <c r="Q76" s="97"/>
      <c r="R76" s="97"/>
      <c r="S76" s="97"/>
      <c r="T76" s="111">
        <f t="shared" si="2"/>
        <v>17250</v>
      </c>
      <c r="U76" s="87">
        <f t="shared" si="3"/>
        <v>100686.2</v>
      </c>
    </row>
    <row r="77" spans="2:21" ht="15.6">
      <c r="B77" s="96">
        <v>49</v>
      </c>
      <c r="C77" s="137" t="s">
        <v>116</v>
      </c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>
        <v>12080</v>
      </c>
      <c r="O77" s="97"/>
      <c r="P77" s="97"/>
      <c r="Q77" s="97"/>
      <c r="R77" s="97"/>
      <c r="S77" s="97"/>
      <c r="T77" s="98">
        <f t="shared" si="2"/>
        <v>12080</v>
      </c>
      <c r="U77" s="87">
        <f t="shared" si="3"/>
        <v>112766.2</v>
      </c>
    </row>
    <row r="78" spans="2:21" ht="15.6">
      <c r="B78" s="138"/>
      <c r="C78" s="137" t="s">
        <v>117</v>
      </c>
      <c r="D78" s="97"/>
      <c r="E78" s="97">
        <f>200+200</f>
        <v>400</v>
      </c>
      <c r="F78" s="97"/>
      <c r="G78" s="97"/>
      <c r="H78" s="97"/>
      <c r="I78" s="97"/>
      <c r="J78" s="97"/>
      <c r="K78" s="97"/>
      <c r="L78" s="97">
        <f>7740+6160</f>
        <v>13900</v>
      </c>
      <c r="M78" s="97">
        <v>1458.6</v>
      </c>
      <c r="N78" s="97"/>
      <c r="O78" s="97">
        <v>414</v>
      </c>
      <c r="P78" s="97"/>
      <c r="Q78" s="97"/>
      <c r="R78" s="97"/>
      <c r="S78" s="97"/>
      <c r="T78" s="98">
        <f t="shared" si="2"/>
        <v>16172.6</v>
      </c>
      <c r="U78" s="87">
        <f t="shared" si="3"/>
        <v>128938.8</v>
      </c>
    </row>
    <row r="79" spans="2:21" ht="15.6">
      <c r="B79" s="96"/>
      <c r="C79" s="137" t="s">
        <v>118</v>
      </c>
      <c r="D79" s="97"/>
      <c r="E79" s="97">
        <v>520</v>
      </c>
      <c r="F79" s="97"/>
      <c r="G79" s="97"/>
      <c r="H79" s="97">
        <v>800</v>
      </c>
      <c r="I79" s="97"/>
      <c r="J79" s="97">
        <f>1560+560+80</f>
        <v>2200</v>
      </c>
      <c r="K79" s="97"/>
      <c r="L79" s="97">
        <v>1020</v>
      </c>
      <c r="M79" s="97"/>
      <c r="N79" s="97"/>
      <c r="O79" s="97">
        <v>4540</v>
      </c>
      <c r="P79" s="97"/>
      <c r="Q79" s="97">
        <v>1160</v>
      </c>
      <c r="R79" s="97"/>
      <c r="S79" s="97">
        <v>1020</v>
      </c>
      <c r="T79" s="98">
        <f t="shared" si="2"/>
        <v>11260</v>
      </c>
      <c r="U79" s="87">
        <f t="shared" si="3"/>
        <v>140198.79999999999</v>
      </c>
    </row>
    <row r="80" spans="2:21" ht="16.2" thickBot="1">
      <c r="B80" s="112"/>
      <c r="C80" s="140" t="s">
        <v>119</v>
      </c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4">
        <f t="shared" si="2"/>
        <v>0</v>
      </c>
      <c r="U80" s="115">
        <f t="shared" si="3"/>
        <v>140198.79999999999</v>
      </c>
    </row>
    <row r="81" spans="2:21" ht="15.6">
      <c r="B81" s="96"/>
      <c r="C81" s="137" t="s">
        <v>120</v>
      </c>
      <c r="D81" s="94"/>
      <c r="E81" s="94">
        <v>780</v>
      </c>
      <c r="F81" s="94">
        <v>60</v>
      </c>
      <c r="G81" s="94">
        <f>2340+2140</f>
        <v>4480</v>
      </c>
      <c r="H81" s="94">
        <v>620</v>
      </c>
      <c r="I81" s="94">
        <f>2940+3720</f>
        <v>6660</v>
      </c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5">
        <f t="shared" si="2"/>
        <v>12600</v>
      </c>
      <c r="U81" s="82">
        <f t="shared" si="3"/>
        <v>152798.79999999999</v>
      </c>
    </row>
    <row r="82" spans="2:21" ht="15.6">
      <c r="B82" s="96"/>
      <c r="C82" s="137" t="s">
        <v>121</v>
      </c>
      <c r="D82" s="97">
        <f>3180+2140</f>
        <v>5320</v>
      </c>
      <c r="E82" s="97">
        <f>340+397</f>
        <v>737</v>
      </c>
      <c r="F82" s="97">
        <f>260</f>
        <v>260</v>
      </c>
      <c r="G82" s="97"/>
      <c r="H82" s="97"/>
      <c r="I82" s="97">
        <f>4280+3940+1627.6</f>
        <v>9847.6</v>
      </c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8">
        <f t="shared" si="2"/>
        <v>16164.6</v>
      </c>
      <c r="U82" s="87">
        <f t="shared" si="3"/>
        <v>168963.4</v>
      </c>
    </row>
    <row r="83" spans="2:21" ht="15.6">
      <c r="B83" s="96"/>
      <c r="C83" s="137" t="s">
        <v>122</v>
      </c>
      <c r="D83" s="97">
        <f>9440+7760+2620</f>
        <v>19820</v>
      </c>
      <c r="E83" s="97"/>
      <c r="F83" s="97"/>
      <c r="G83" s="97"/>
      <c r="H83" s="97"/>
      <c r="I83" s="97"/>
      <c r="J83" s="97"/>
      <c r="K83" s="97">
        <v>220</v>
      </c>
      <c r="L83" s="97"/>
      <c r="M83" s="97">
        <v>140</v>
      </c>
      <c r="N83" s="97"/>
      <c r="O83" s="97"/>
      <c r="P83" s="97"/>
      <c r="Q83" s="97"/>
      <c r="R83" s="97"/>
      <c r="S83" s="97"/>
      <c r="T83" s="98">
        <f t="shared" si="2"/>
        <v>20180</v>
      </c>
      <c r="U83" s="87">
        <f t="shared" si="3"/>
        <v>189143.4</v>
      </c>
    </row>
    <row r="84" spans="2:21" ht="15.6">
      <c r="B84" s="96">
        <v>50</v>
      </c>
      <c r="C84" s="137" t="s">
        <v>123</v>
      </c>
      <c r="D84" s="97">
        <f>5480+8620+1580</f>
        <v>15680</v>
      </c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8">
        <f t="shared" si="2"/>
        <v>15680</v>
      </c>
      <c r="U84" s="87">
        <f t="shared" si="3"/>
        <v>204823.4</v>
      </c>
    </row>
    <row r="85" spans="2:21" ht="15.6">
      <c r="B85" s="138"/>
      <c r="C85" s="137" t="s">
        <v>124</v>
      </c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8">
        <f t="shared" si="2"/>
        <v>0</v>
      </c>
      <c r="U85" s="87">
        <f t="shared" si="3"/>
        <v>204823.4</v>
      </c>
    </row>
    <row r="86" spans="2:21" ht="15.6">
      <c r="B86" s="96"/>
      <c r="C86" s="137" t="s">
        <v>125</v>
      </c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8">
        <f t="shared" si="2"/>
        <v>0</v>
      </c>
      <c r="U86" s="87"/>
    </row>
    <row r="87" spans="2:21" ht="16.2" thickBot="1">
      <c r="B87" s="96"/>
      <c r="C87" s="137" t="s">
        <v>126</v>
      </c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3">
        <f t="shared" si="2"/>
        <v>0</v>
      </c>
      <c r="U87" s="90"/>
    </row>
    <row r="88" spans="2:21" ht="15.6">
      <c r="B88" s="116"/>
      <c r="C88" s="141" t="s">
        <v>127</v>
      </c>
      <c r="D88" s="94">
        <f>9230+7020+1947</f>
        <v>18197</v>
      </c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118">
        <f t="shared" si="2"/>
        <v>18197</v>
      </c>
      <c r="U88" s="119"/>
    </row>
    <row r="89" spans="2:21" ht="16.2" thickBot="1">
      <c r="B89" s="116"/>
      <c r="C89" s="141" t="s">
        <v>128</v>
      </c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122">
        <f t="shared" si="2"/>
        <v>0</v>
      </c>
      <c r="U89" s="123"/>
    </row>
    <row r="90" spans="2:21" ht="16.2" thickBot="1">
      <c r="B90" s="116"/>
      <c r="C90" s="141" t="s">
        <v>129</v>
      </c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124"/>
      <c r="U90" s="124"/>
    </row>
    <row r="91" spans="2:21" ht="15.6">
      <c r="B91" s="116"/>
      <c r="C91" s="141" t="s">
        <v>130</v>
      </c>
      <c r="D91" s="97">
        <f>7210+5240+1340</f>
        <v>13790</v>
      </c>
      <c r="E91" s="97">
        <v>787</v>
      </c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127">
        <f t="shared" si="2"/>
        <v>14577</v>
      </c>
      <c r="U91" s="127">
        <f>+T91+U89</f>
        <v>14577</v>
      </c>
    </row>
    <row r="92" spans="2:21" ht="16.2" thickBot="1">
      <c r="B92" s="142"/>
      <c r="C92" s="141" t="s">
        <v>131</v>
      </c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130">
        <f t="shared" ref="T92" si="4">SUM(D92:P92)</f>
        <v>0</v>
      </c>
      <c r="U92" s="131">
        <f t="shared" ref="U92" si="5">+T92+U91</f>
        <v>14577</v>
      </c>
    </row>
    <row r="93" spans="2:21" ht="16.2" thickBot="1">
      <c r="B93" s="143"/>
      <c r="C93" s="141" t="s">
        <v>134</v>
      </c>
      <c r="D93" s="42">
        <f>+D4</f>
        <v>7</v>
      </c>
      <c r="E93" s="42">
        <f t="shared" ref="E93:S93" si="6">+E4</f>
        <v>8</v>
      </c>
      <c r="F93" s="42">
        <f t="shared" si="6"/>
        <v>9</v>
      </c>
      <c r="G93" s="42">
        <f t="shared" si="6"/>
        <v>10</v>
      </c>
      <c r="H93" s="42">
        <f t="shared" si="6"/>
        <v>11</v>
      </c>
      <c r="I93" s="42">
        <f t="shared" si="6"/>
        <v>12</v>
      </c>
      <c r="J93" s="42">
        <f t="shared" si="6"/>
        <v>13</v>
      </c>
      <c r="K93" s="42">
        <f t="shared" si="6"/>
        <v>14</v>
      </c>
      <c r="L93" s="42">
        <f t="shared" si="6"/>
        <v>15</v>
      </c>
      <c r="M93" s="42">
        <f t="shared" si="6"/>
        <v>16</v>
      </c>
      <c r="N93" s="42">
        <f t="shared" si="6"/>
        <v>17</v>
      </c>
      <c r="O93" s="42">
        <f t="shared" si="6"/>
        <v>18</v>
      </c>
      <c r="P93" s="42">
        <f t="shared" si="6"/>
        <v>19</v>
      </c>
      <c r="Q93" s="42">
        <f t="shared" si="6"/>
        <v>22</v>
      </c>
      <c r="R93" s="42">
        <f t="shared" si="6"/>
        <v>23</v>
      </c>
      <c r="S93" s="42">
        <f t="shared" si="6"/>
        <v>34</v>
      </c>
      <c r="T93" s="43">
        <f>SUM(T5:T92)</f>
        <v>237597.4</v>
      </c>
      <c r="U93" s="43" t="s">
        <v>3</v>
      </c>
    </row>
    <row r="94" spans="2:21" ht="15.6">
      <c r="B94" s="44"/>
      <c r="C94" s="45" t="s">
        <v>4</v>
      </c>
      <c r="D94" s="73">
        <f t="shared" ref="D94:S94" si="7">SUM(D5:D93)</f>
        <v>77599.8</v>
      </c>
      <c r="E94" s="45">
        <f t="shared" si="7"/>
        <v>6747</v>
      </c>
      <c r="F94" s="45">
        <f t="shared" si="7"/>
        <v>4620.3</v>
      </c>
      <c r="G94" s="45">
        <f t="shared" si="7"/>
        <v>13531.099999999999</v>
      </c>
      <c r="H94" s="45">
        <f t="shared" si="7"/>
        <v>6401</v>
      </c>
      <c r="I94" s="45">
        <f t="shared" si="7"/>
        <v>18546.599999999999</v>
      </c>
      <c r="J94" s="45">
        <f t="shared" si="7"/>
        <v>9279.9</v>
      </c>
      <c r="K94" s="45">
        <f t="shared" si="7"/>
        <v>5855.2</v>
      </c>
      <c r="L94" s="45">
        <f t="shared" si="7"/>
        <v>15895</v>
      </c>
      <c r="M94" s="45">
        <f t="shared" si="7"/>
        <v>9927.9</v>
      </c>
      <c r="N94" s="45">
        <f t="shared" si="7"/>
        <v>30787.9</v>
      </c>
      <c r="O94" s="45">
        <f t="shared" si="7"/>
        <v>12991.1</v>
      </c>
      <c r="P94" s="45">
        <f t="shared" si="7"/>
        <v>19919.099999999999</v>
      </c>
      <c r="Q94" s="45">
        <f t="shared" si="7"/>
        <v>1927</v>
      </c>
      <c r="R94" s="45">
        <f t="shared" si="7"/>
        <v>699.5</v>
      </c>
      <c r="S94" s="45">
        <f t="shared" si="7"/>
        <v>3117</v>
      </c>
      <c r="T94" s="47">
        <f>SUM(D94:S94)</f>
        <v>237845.40000000002</v>
      </c>
      <c r="U94" s="48"/>
    </row>
    <row r="95" spans="2:21" ht="15.6">
      <c r="B95" s="49"/>
      <c r="C95" s="50" t="s">
        <v>5</v>
      </c>
      <c r="D95" s="50">
        <v>2132</v>
      </c>
      <c r="E95" s="50">
        <v>514</v>
      </c>
      <c r="F95" s="50">
        <v>383</v>
      </c>
      <c r="G95" s="50">
        <v>1024</v>
      </c>
      <c r="H95" s="50">
        <v>434</v>
      </c>
      <c r="I95" s="50">
        <v>1064</v>
      </c>
      <c r="J95" s="50">
        <v>720</v>
      </c>
      <c r="K95" s="50">
        <v>1064</v>
      </c>
      <c r="L95" s="50">
        <v>944</v>
      </c>
      <c r="M95" s="50">
        <v>1064</v>
      </c>
      <c r="N95" s="50">
        <v>1168</v>
      </c>
      <c r="O95" s="50">
        <v>770</v>
      </c>
      <c r="P95" s="50">
        <v>716</v>
      </c>
      <c r="Q95" s="50">
        <v>210</v>
      </c>
      <c r="R95" s="50">
        <v>310</v>
      </c>
      <c r="S95" s="50">
        <v>210</v>
      </c>
      <c r="T95" s="46">
        <f>SUM(D95:S95)</f>
        <v>12727</v>
      </c>
      <c r="U95" s="51"/>
    </row>
    <row r="96" spans="2:21" ht="15.6">
      <c r="B96" s="52"/>
      <c r="C96" s="53" t="s">
        <v>6</v>
      </c>
      <c r="D96" s="74">
        <f t="shared" ref="D96:S96" si="8">D94/D95</f>
        <v>36.397654784240153</v>
      </c>
      <c r="E96" s="75">
        <f t="shared" si="8"/>
        <v>13.126459143968871</v>
      </c>
      <c r="F96" s="75">
        <f t="shared" si="8"/>
        <v>12.063446475195823</v>
      </c>
      <c r="G96" s="75">
        <f t="shared" si="8"/>
        <v>13.213964843749999</v>
      </c>
      <c r="H96" s="75">
        <f t="shared" si="8"/>
        <v>14.748847926267281</v>
      </c>
      <c r="I96" s="75">
        <f t="shared" si="8"/>
        <v>17.431015037593983</v>
      </c>
      <c r="J96" s="75">
        <f t="shared" si="8"/>
        <v>12.88875</v>
      </c>
      <c r="K96" s="54">
        <f t="shared" si="8"/>
        <v>5.5030075187969922</v>
      </c>
      <c r="L96" s="75">
        <f t="shared" si="8"/>
        <v>16.837923728813561</v>
      </c>
      <c r="M96" s="54">
        <f t="shared" si="8"/>
        <v>9.3307330827067663</v>
      </c>
      <c r="N96" s="54">
        <f t="shared" si="8"/>
        <v>26.359503424657536</v>
      </c>
      <c r="O96" s="75">
        <f t="shared" si="8"/>
        <v>16.871558441558442</v>
      </c>
      <c r="P96" s="54">
        <f t="shared" si="8"/>
        <v>27.819972067039103</v>
      </c>
      <c r="Q96" s="54">
        <f t="shared" si="8"/>
        <v>9.1761904761904756</v>
      </c>
      <c r="R96" s="75">
        <f t="shared" si="8"/>
        <v>2.2564516129032257</v>
      </c>
      <c r="S96" s="54">
        <f t="shared" si="8"/>
        <v>14.842857142857143</v>
      </c>
      <c r="T96" s="56">
        <f>T94/T95</f>
        <v>18.688253319713997</v>
      </c>
      <c r="U96" s="5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FE94-3C9C-41CD-8552-14D616351537}">
  <dimension ref="B3:U95"/>
  <sheetViews>
    <sheetView workbookViewId="0">
      <selection activeCell="B5" sqref="B5:C90"/>
    </sheetView>
  </sheetViews>
  <sheetFormatPr defaultRowHeight="14.4"/>
  <sheetData>
    <row r="3" spans="2:21" ht="16.2" thickBot="1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4"/>
      <c r="U3" s="4"/>
    </row>
    <row r="4" spans="2:21" ht="16.2" thickBot="1">
      <c r="B4" s="77"/>
      <c r="C4" s="64">
        <v>2022</v>
      </c>
      <c r="D4" s="8">
        <v>7</v>
      </c>
      <c r="E4" s="8">
        <v>8</v>
      </c>
      <c r="F4" s="8">
        <v>9</v>
      </c>
      <c r="G4" s="8">
        <v>10</v>
      </c>
      <c r="H4" s="8">
        <v>11</v>
      </c>
      <c r="I4" s="8">
        <v>12</v>
      </c>
      <c r="J4" s="8">
        <v>13</v>
      </c>
      <c r="K4" s="8">
        <v>14</v>
      </c>
      <c r="L4" s="8">
        <v>15</v>
      </c>
      <c r="M4" s="8">
        <v>16</v>
      </c>
      <c r="N4" s="8">
        <v>17</v>
      </c>
      <c r="O4" s="8">
        <v>18</v>
      </c>
      <c r="P4" s="8">
        <v>19</v>
      </c>
      <c r="Q4" s="8">
        <v>22</v>
      </c>
      <c r="R4" s="8">
        <v>23</v>
      </c>
      <c r="S4" s="8">
        <v>34</v>
      </c>
      <c r="T4" s="9" t="s">
        <v>2</v>
      </c>
      <c r="U4" s="9" t="s">
        <v>3</v>
      </c>
    </row>
    <row r="5" spans="2:21" ht="15.6">
      <c r="B5" s="152"/>
      <c r="C5" s="155" t="s">
        <v>40</v>
      </c>
      <c r="D5" s="146"/>
      <c r="E5" s="146"/>
      <c r="F5" s="146"/>
      <c r="G5" s="146"/>
      <c r="H5" s="146"/>
      <c r="I5" s="146"/>
      <c r="J5" s="147"/>
      <c r="K5" s="146"/>
      <c r="L5" s="147"/>
      <c r="M5" s="146">
        <v>17.399999999999999</v>
      </c>
      <c r="N5" s="147"/>
      <c r="O5" s="146"/>
      <c r="P5" s="148"/>
      <c r="Q5" s="149"/>
      <c r="R5" s="149"/>
      <c r="S5" s="149"/>
      <c r="T5" s="150">
        <f>SUM(D5:S5)</f>
        <v>17.399999999999999</v>
      </c>
      <c r="U5" s="151">
        <f>T5</f>
        <v>17.399999999999999</v>
      </c>
    </row>
    <row r="6" spans="2:21" ht="15.6">
      <c r="B6" s="152"/>
      <c r="C6" s="155" t="s">
        <v>44</v>
      </c>
      <c r="D6" s="154"/>
      <c r="E6" s="154"/>
      <c r="F6" s="154"/>
      <c r="G6" s="154"/>
      <c r="H6" s="154"/>
      <c r="I6" s="154"/>
      <c r="J6" s="155"/>
      <c r="K6" s="154"/>
      <c r="L6" s="155"/>
      <c r="M6" s="154"/>
      <c r="N6" s="155"/>
      <c r="O6" s="154"/>
      <c r="P6" s="156"/>
      <c r="Q6" s="157"/>
      <c r="R6" s="157"/>
      <c r="S6" s="157"/>
      <c r="T6" s="158">
        <f t="shared" ref="T6:T69" si="0">SUM(D6:S6)</f>
        <v>0</v>
      </c>
      <c r="U6" s="159">
        <f t="shared" ref="U6" si="1">+T6+U5</f>
        <v>17.399999999999999</v>
      </c>
    </row>
    <row r="7" spans="2:21" ht="15.6">
      <c r="B7" s="152"/>
      <c r="C7" s="155" t="s">
        <v>45</v>
      </c>
      <c r="D7" s="154"/>
      <c r="E7" s="154"/>
      <c r="F7" s="154"/>
      <c r="G7" s="154"/>
      <c r="H7" s="154"/>
      <c r="I7" s="154"/>
      <c r="J7" s="155"/>
      <c r="K7" s="154"/>
      <c r="L7" s="155"/>
      <c r="M7" s="154"/>
      <c r="N7" s="155"/>
      <c r="O7" s="154"/>
      <c r="P7" s="156"/>
      <c r="Q7" s="157"/>
      <c r="R7" s="157"/>
      <c r="S7" s="157"/>
      <c r="T7" s="158">
        <f t="shared" si="0"/>
        <v>0</v>
      </c>
      <c r="U7" s="159">
        <f>+T7+U6</f>
        <v>17.399999999999999</v>
      </c>
    </row>
    <row r="8" spans="2:21" ht="15.6">
      <c r="B8" s="152">
        <v>39</v>
      </c>
      <c r="C8" s="155" t="s">
        <v>46</v>
      </c>
      <c r="D8" s="154"/>
      <c r="E8" s="154"/>
      <c r="F8" s="154"/>
      <c r="G8" s="154"/>
      <c r="H8" s="154"/>
      <c r="I8" s="154"/>
      <c r="J8" s="155"/>
      <c r="K8" s="154"/>
      <c r="L8" s="155"/>
      <c r="M8" s="154"/>
      <c r="N8" s="155"/>
      <c r="O8" s="154"/>
      <c r="P8" s="156"/>
      <c r="Q8" s="157"/>
      <c r="R8" s="157"/>
      <c r="S8" s="157"/>
      <c r="T8" s="158">
        <f t="shared" si="0"/>
        <v>0</v>
      </c>
      <c r="U8" s="159">
        <f t="shared" ref="U8:U71" si="2">+T8+U7</f>
        <v>17.399999999999999</v>
      </c>
    </row>
    <row r="9" spans="2:21" ht="15.6">
      <c r="B9" s="152"/>
      <c r="C9" s="155" t="s">
        <v>47</v>
      </c>
      <c r="D9" s="154"/>
      <c r="E9" s="154"/>
      <c r="F9" s="154"/>
      <c r="G9" s="154"/>
      <c r="H9" s="154"/>
      <c r="I9" s="154"/>
      <c r="J9" s="155"/>
      <c r="K9" s="154"/>
      <c r="L9" s="155"/>
      <c r="M9" s="154"/>
      <c r="N9" s="155"/>
      <c r="O9" s="154"/>
      <c r="P9" s="156"/>
      <c r="Q9" s="157"/>
      <c r="R9" s="157"/>
      <c r="S9" s="157"/>
      <c r="T9" s="158">
        <f t="shared" si="0"/>
        <v>0</v>
      </c>
      <c r="U9" s="159">
        <f t="shared" si="2"/>
        <v>17.399999999999999</v>
      </c>
    </row>
    <row r="10" spans="2:21" ht="16.2" thickBot="1">
      <c r="B10" s="160"/>
      <c r="C10" s="165" t="s">
        <v>133</v>
      </c>
      <c r="D10" s="154"/>
      <c r="E10" s="154"/>
      <c r="F10" s="154"/>
      <c r="G10" s="154"/>
      <c r="H10" s="154"/>
      <c r="I10" s="154"/>
      <c r="J10" s="155"/>
      <c r="K10" s="154"/>
      <c r="L10" s="155"/>
      <c r="M10" s="154"/>
      <c r="N10" s="155"/>
      <c r="O10" s="154"/>
      <c r="P10" s="156"/>
      <c r="Q10" s="162"/>
      <c r="R10" s="162"/>
      <c r="S10" s="162"/>
      <c r="T10" s="158">
        <f t="shared" si="0"/>
        <v>0</v>
      </c>
      <c r="U10" s="159">
        <f t="shared" si="2"/>
        <v>17.399999999999999</v>
      </c>
    </row>
    <row r="11" spans="2:21" ht="15.6">
      <c r="B11" s="144"/>
      <c r="C11" s="147" t="s">
        <v>50</v>
      </c>
      <c r="D11" s="146"/>
      <c r="E11" s="146"/>
      <c r="F11" s="146"/>
      <c r="G11" s="146"/>
      <c r="H11" s="146"/>
      <c r="I11" s="146"/>
      <c r="J11" s="163"/>
      <c r="K11" s="146">
        <v>67</v>
      </c>
      <c r="L11" s="146"/>
      <c r="M11" s="146">
        <v>178</v>
      </c>
      <c r="N11" s="147"/>
      <c r="O11" s="146"/>
      <c r="P11" s="148"/>
      <c r="Q11" s="149"/>
      <c r="R11" s="149"/>
      <c r="S11" s="149"/>
      <c r="T11" s="150">
        <f t="shared" si="0"/>
        <v>245</v>
      </c>
      <c r="U11" s="151">
        <f t="shared" si="2"/>
        <v>262.39999999999998</v>
      </c>
    </row>
    <row r="12" spans="2:21" ht="15.6">
      <c r="B12" s="152"/>
      <c r="C12" s="155" t="s">
        <v>51</v>
      </c>
      <c r="D12" s="154"/>
      <c r="E12" s="154"/>
      <c r="F12" s="154"/>
      <c r="G12" s="154"/>
      <c r="H12" s="154"/>
      <c r="I12" s="154"/>
      <c r="J12" s="164"/>
      <c r="K12" s="154"/>
      <c r="L12" s="154"/>
      <c r="M12" s="154"/>
      <c r="N12" s="155"/>
      <c r="O12" s="154"/>
      <c r="P12" s="156"/>
      <c r="Q12" s="157"/>
      <c r="R12" s="157"/>
      <c r="S12" s="157"/>
      <c r="T12" s="158">
        <f t="shared" si="0"/>
        <v>0</v>
      </c>
      <c r="U12" s="159">
        <f t="shared" si="2"/>
        <v>262.39999999999998</v>
      </c>
    </row>
    <row r="13" spans="2:21" ht="15.6">
      <c r="B13" s="152"/>
      <c r="C13" s="155" t="s">
        <v>52</v>
      </c>
      <c r="D13" s="154"/>
      <c r="E13" s="154"/>
      <c r="F13" s="154"/>
      <c r="G13" s="154"/>
      <c r="H13" s="154"/>
      <c r="I13" s="154"/>
      <c r="J13" s="164"/>
      <c r="K13" s="154"/>
      <c r="L13" s="154"/>
      <c r="M13" s="154"/>
      <c r="N13" s="155"/>
      <c r="O13" s="154"/>
      <c r="P13" s="156"/>
      <c r="Q13" s="157"/>
      <c r="R13" s="157"/>
      <c r="S13" s="157"/>
      <c r="T13" s="158">
        <f t="shared" si="0"/>
        <v>0</v>
      </c>
      <c r="U13" s="159">
        <f t="shared" si="2"/>
        <v>262.39999999999998</v>
      </c>
    </row>
    <row r="14" spans="2:21" ht="15.6">
      <c r="B14" s="152">
        <v>40</v>
      </c>
      <c r="C14" s="155" t="s">
        <v>53</v>
      </c>
      <c r="D14" s="154"/>
      <c r="E14" s="154"/>
      <c r="F14" s="154"/>
      <c r="G14" s="154"/>
      <c r="H14" s="154"/>
      <c r="I14" s="154"/>
      <c r="J14" s="164"/>
      <c r="K14" s="154">
        <v>285</v>
      </c>
      <c r="L14" s="154"/>
      <c r="M14" s="154">
        <v>384</v>
      </c>
      <c r="N14" s="155"/>
      <c r="O14" s="154"/>
      <c r="P14" s="156"/>
      <c r="Q14" s="157"/>
      <c r="R14" s="157"/>
      <c r="S14" s="157"/>
      <c r="T14" s="158">
        <f t="shared" si="0"/>
        <v>669</v>
      </c>
      <c r="U14" s="159">
        <f t="shared" si="2"/>
        <v>931.4</v>
      </c>
    </row>
    <row r="15" spans="2:21" ht="15.6">
      <c r="B15" s="152"/>
      <c r="C15" s="155" t="s">
        <v>54</v>
      </c>
      <c r="D15" s="154"/>
      <c r="E15" s="154"/>
      <c r="F15" s="154"/>
      <c r="G15" s="154"/>
      <c r="H15" s="154"/>
      <c r="I15" s="154"/>
      <c r="J15" s="164"/>
      <c r="K15" s="154"/>
      <c r="L15" s="154"/>
      <c r="M15" s="154"/>
      <c r="N15" s="155"/>
      <c r="O15" s="154"/>
      <c r="P15" s="156"/>
      <c r="Q15" s="157"/>
      <c r="R15" s="157"/>
      <c r="S15" s="157"/>
      <c r="T15" s="158">
        <f t="shared" si="0"/>
        <v>0</v>
      </c>
      <c r="U15" s="159">
        <f t="shared" si="2"/>
        <v>931.4</v>
      </c>
    </row>
    <row r="16" spans="2:21" ht="15.6">
      <c r="B16" s="152"/>
      <c r="C16" s="155" t="s">
        <v>55</v>
      </c>
      <c r="D16" s="154"/>
      <c r="E16" s="154"/>
      <c r="F16" s="154"/>
      <c r="G16" s="154"/>
      <c r="H16" s="154"/>
      <c r="I16" s="154"/>
      <c r="J16" s="164"/>
      <c r="K16" s="154"/>
      <c r="L16" s="154"/>
      <c r="M16" s="154"/>
      <c r="N16" s="155"/>
      <c r="O16" s="154"/>
      <c r="P16" s="156"/>
      <c r="Q16" s="157"/>
      <c r="R16" s="157"/>
      <c r="S16" s="157"/>
      <c r="T16" s="158">
        <f t="shared" si="0"/>
        <v>0</v>
      </c>
      <c r="U16" s="159">
        <f t="shared" si="2"/>
        <v>931.4</v>
      </c>
    </row>
    <row r="17" spans="2:21" ht="16.2" thickBot="1">
      <c r="B17" s="160"/>
      <c r="C17" s="165" t="s">
        <v>56</v>
      </c>
      <c r="D17" s="166"/>
      <c r="E17" s="166"/>
      <c r="F17" s="166"/>
      <c r="G17" s="166"/>
      <c r="H17" s="166"/>
      <c r="I17" s="166"/>
      <c r="J17" s="167"/>
      <c r="K17" s="166"/>
      <c r="L17" s="166"/>
      <c r="M17" s="166"/>
      <c r="N17" s="165"/>
      <c r="O17" s="166"/>
      <c r="P17" s="168"/>
      <c r="Q17" s="162"/>
      <c r="R17" s="162"/>
      <c r="S17" s="162"/>
      <c r="T17" s="169">
        <f t="shared" si="0"/>
        <v>0</v>
      </c>
      <c r="U17" s="170">
        <f t="shared" si="2"/>
        <v>931.4</v>
      </c>
    </row>
    <row r="18" spans="2:21" ht="15.6">
      <c r="B18" s="144"/>
      <c r="C18" s="147" t="s">
        <v>57</v>
      </c>
      <c r="D18" s="146"/>
      <c r="E18" s="146">
        <f>18+14</f>
        <v>32</v>
      </c>
      <c r="F18" s="146">
        <v>30</v>
      </c>
      <c r="G18" s="146"/>
      <c r="H18" s="146"/>
      <c r="I18" s="146"/>
      <c r="J18" s="146"/>
      <c r="K18" s="146"/>
      <c r="L18" s="146">
        <v>40</v>
      </c>
      <c r="M18" s="146">
        <v>1800</v>
      </c>
      <c r="N18" s="146"/>
      <c r="O18" s="146"/>
      <c r="P18" s="149">
        <v>20</v>
      </c>
      <c r="Q18" s="149"/>
      <c r="R18" s="149"/>
      <c r="S18" s="149"/>
      <c r="T18" s="150">
        <f t="shared" si="0"/>
        <v>1922</v>
      </c>
      <c r="U18" s="150">
        <f t="shared" si="2"/>
        <v>2853.4</v>
      </c>
    </row>
    <row r="19" spans="2:21" ht="15.6">
      <c r="B19" s="152"/>
      <c r="C19" s="155" t="s">
        <v>58</v>
      </c>
      <c r="D19" s="154"/>
      <c r="E19" s="154"/>
      <c r="F19" s="154"/>
      <c r="G19" s="154"/>
      <c r="H19" s="154"/>
      <c r="I19" s="154"/>
      <c r="J19" s="154"/>
      <c r="K19" s="154">
        <v>1776.5</v>
      </c>
      <c r="L19" s="154"/>
      <c r="M19" s="154">
        <v>600</v>
      </c>
      <c r="N19" s="154"/>
      <c r="O19" s="154"/>
      <c r="P19" s="157"/>
      <c r="Q19" s="157"/>
      <c r="R19" s="157"/>
      <c r="S19" s="157"/>
      <c r="T19" s="158">
        <f t="shared" si="0"/>
        <v>2376.5</v>
      </c>
      <c r="U19" s="158">
        <f t="shared" si="2"/>
        <v>5229.8999999999996</v>
      </c>
    </row>
    <row r="20" spans="2:21" ht="15.6">
      <c r="B20" s="152"/>
      <c r="C20" s="155" t="s">
        <v>59</v>
      </c>
      <c r="D20" s="154"/>
      <c r="E20" s="154"/>
      <c r="F20" s="154"/>
      <c r="G20" s="154"/>
      <c r="H20" s="154"/>
      <c r="I20" s="154"/>
      <c r="J20" s="154"/>
      <c r="K20" s="154">
        <v>240</v>
      </c>
      <c r="L20" s="154"/>
      <c r="M20" s="154">
        <v>420</v>
      </c>
      <c r="N20" s="154"/>
      <c r="O20" s="154"/>
      <c r="P20" s="157"/>
      <c r="Q20" s="157"/>
      <c r="R20" s="157"/>
      <c r="S20" s="157"/>
      <c r="T20" s="158">
        <f t="shared" si="0"/>
        <v>660</v>
      </c>
      <c r="U20" s="158">
        <f t="shared" si="2"/>
        <v>5889.9</v>
      </c>
    </row>
    <row r="21" spans="2:21" ht="15.6">
      <c r="B21" s="152">
        <v>41</v>
      </c>
      <c r="C21" s="155" t="s">
        <v>60</v>
      </c>
      <c r="D21" s="154"/>
      <c r="E21" s="154"/>
      <c r="F21" s="154">
        <v>20</v>
      </c>
      <c r="G21" s="154"/>
      <c r="H21" s="154"/>
      <c r="I21" s="154"/>
      <c r="J21" s="154"/>
      <c r="K21" s="154"/>
      <c r="L21" s="154"/>
      <c r="M21" s="154">
        <v>2620</v>
      </c>
      <c r="N21" s="154"/>
      <c r="O21" s="154">
        <v>12.4</v>
      </c>
      <c r="P21" s="157"/>
      <c r="Q21" s="157"/>
      <c r="R21" s="157"/>
      <c r="S21" s="157"/>
      <c r="T21" s="158">
        <f t="shared" si="0"/>
        <v>2652.4</v>
      </c>
      <c r="U21" s="158">
        <f t="shared" si="2"/>
        <v>8542.2999999999993</v>
      </c>
    </row>
    <row r="22" spans="2:21" ht="15.6">
      <c r="B22" s="152"/>
      <c r="C22" s="155" t="s">
        <v>61</v>
      </c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7"/>
      <c r="Q22" s="157"/>
      <c r="R22" s="157"/>
      <c r="S22" s="157"/>
      <c r="T22" s="158">
        <f t="shared" si="0"/>
        <v>0</v>
      </c>
      <c r="U22" s="158">
        <f t="shared" si="2"/>
        <v>8542.2999999999993</v>
      </c>
    </row>
    <row r="23" spans="2:21" ht="15.6">
      <c r="B23" s="152"/>
      <c r="C23" s="155" t="s">
        <v>62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7"/>
      <c r="Q23" s="157"/>
      <c r="R23" s="157"/>
      <c r="S23" s="157"/>
      <c r="T23" s="158">
        <f t="shared" si="0"/>
        <v>0</v>
      </c>
      <c r="U23" s="158">
        <f t="shared" si="2"/>
        <v>8542.2999999999993</v>
      </c>
    </row>
    <row r="24" spans="2:21" ht="16.2" thickBot="1">
      <c r="B24" s="160"/>
      <c r="C24" s="165" t="s">
        <v>63</v>
      </c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2"/>
      <c r="Q24" s="162"/>
      <c r="R24" s="162"/>
      <c r="S24" s="162"/>
      <c r="T24" s="169">
        <f t="shared" si="0"/>
        <v>0</v>
      </c>
      <c r="U24" s="169">
        <f t="shared" si="2"/>
        <v>8542.2999999999993</v>
      </c>
    </row>
    <row r="25" spans="2:21" ht="15.6">
      <c r="B25" s="215"/>
      <c r="C25" s="155" t="s">
        <v>64</v>
      </c>
      <c r="D25" s="146"/>
      <c r="E25" s="146"/>
      <c r="F25" s="146"/>
      <c r="G25" s="146"/>
      <c r="H25" s="146"/>
      <c r="I25" s="146"/>
      <c r="J25" s="146"/>
      <c r="K25" s="146"/>
      <c r="L25" s="146"/>
      <c r="M25" s="146">
        <v>5780</v>
      </c>
      <c r="N25" s="146"/>
      <c r="O25" s="146"/>
      <c r="P25" s="149"/>
      <c r="Q25" s="149"/>
      <c r="R25" s="149"/>
      <c r="S25" s="149"/>
      <c r="T25" s="150">
        <f t="shared" si="0"/>
        <v>5780</v>
      </c>
      <c r="U25" s="150">
        <f t="shared" si="2"/>
        <v>14322.3</v>
      </c>
    </row>
    <row r="26" spans="2:21" ht="15.6">
      <c r="B26" s="152"/>
      <c r="C26" s="215" t="s">
        <v>65</v>
      </c>
      <c r="D26" s="154"/>
      <c r="E26" s="154"/>
      <c r="F26" s="154"/>
      <c r="G26" s="154"/>
      <c r="H26" s="154"/>
      <c r="I26" s="154"/>
      <c r="J26" s="154"/>
      <c r="K26" s="154"/>
      <c r="L26" s="154"/>
      <c r="M26" s="154">
        <v>7760</v>
      </c>
      <c r="N26" s="154"/>
      <c r="O26" s="154"/>
      <c r="P26" s="157"/>
      <c r="Q26" s="157"/>
      <c r="R26" s="157"/>
      <c r="S26" s="157"/>
      <c r="T26" s="158">
        <f t="shared" si="0"/>
        <v>7760</v>
      </c>
      <c r="U26" s="158">
        <f t="shared" si="2"/>
        <v>22082.3</v>
      </c>
    </row>
    <row r="27" spans="2:21" ht="15.6">
      <c r="B27" s="152"/>
      <c r="C27" s="155" t="s">
        <v>66</v>
      </c>
      <c r="D27" s="154"/>
      <c r="E27" s="154">
        <v>40</v>
      </c>
      <c r="F27" s="154"/>
      <c r="G27" s="154"/>
      <c r="H27" s="154"/>
      <c r="I27" s="154"/>
      <c r="J27" s="154"/>
      <c r="K27" s="154">
        <v>4600</v>
      </c>
      <c r="L27" s="154"/>
      <c r="M27" s="154">
        <v>2440</v>
      </c>
      <c r="N27" s="154"/>
      <c r="O27" s="154"/>
      <c r="P27" s="171"/>
      <c r="Q27" s="171"/>
      <c r="R27" s="171"/>
      <c r="S27" s="171"/>
      <c r="T27" s="158">
        <f t="shared" si="0"/>
        <v>7080</v>
      </c>
      <c r="U27" s="158">
        <f t="shared" si="2"/>
        <v>29162.3</v>
      </c>
    </row>
    <row r="28" spans="2:21" ht="15.6">
      <c r="B28" s="152">
        <v>42</v>
      </c>
      <c r="C28" s="155" t="s">
        <v>67</v>
      </c>
      <c r="D28" s="154"/>
      <c r="E28" s="154"/>
      <c r="F28" s="154"/>
      <c r="G28" s="154"/>
      <c r="H28" s="154"/>
      <c r="I28" s="154"/>
      <c r="J28" s="154"/>
      <c r="K28" s="154">
        <v>6760</v>
      </c>
      <c r="L28" s="154"/>
      <c r="M28" s="154"/>
      <c r="N28" s="154"/>
      <c r="O28" s="154">
        <v>140</v>
      </c>
      <c r="P28" s="157">
        <v>28.9</v>
      </c>
      <c r="Q28" s="157">
        <v>60</v>
      </c>
      <c r="R28" s="157">
        <v>53.8</v>
      </c>
      <c r="S28" s="157"/>
      <c r="T28" s="158">
        <f t="shared" si="0"/>
        <v>7042.7</v>
      </c>
      <c r="U28" s="158">
        <f t="shared" si="2"/>
        <v>36205</v>
      </c>
    </row>
    <row r="29" spans="2:21" ht="15.6">
      <c r="B29" s="152"/>
      <c r="C29" s="155" t="s">
        <v>68</v>
      </c>
      <c r="D29" s="154"/>
      <c r="E29" s="154"/>
      <c r="F29" s="154"/>
      <c r="G29" s="154"/>
      <c r="H29" s="154"/>
      <c r="I29" s="154"/>
      <c r="J29" s="154"/>
      <c r="K29" s="154">
        <v>1880</v>
      </c>
      <c r="L29" s="154"/>
      <c r="M29" s="154">
        <v>4780</v>
      </c>
      <c r="N29" s="154"/>
      <c r="O29" s="154"/>
      <c r="P29" s="157"/>
      <c r="Q29" s="157"/>
      <c r="R29" s="157"/>
      <c r="S29" s="157"/>
      <c r="T29" s="158">
        <f t="shared" si="0"/>
        <v>6660</v>
      </c>
      <c r="U29" s="158">
        <f t="shared" si="2"/>
        <v>42865</v>
      </c>
    </row>
    <row r="30" spans="2:21" ht="15.6">
      <c r="B30" s="152"/>
      <c r="C30" s="155" t="s">
        <v>69</v>
      </c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7"/>
      <c r="Q30" s="157"/>
      <c r="R30" s="157"/>
      <c r="S30" s="157"/>
      <c r="T30" s="158">
        <f t="shared" si="0"/>
        <v>0</v>
      </c>
      <c r="U30" s="158">
        <f t="shared" si="2"/>
        <v>42865</v>
      </c>
    </row>
    <row r="31" spans="2:21" ht="16.2" thickBot="1">
      <c r="B31" s="216"/>
      <c r="C31" s="155" t="s">
        <v>70</v>
      </c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2"/>
      <c r="Q31" s="162"/>
      <c r="R31" s="162"/>
      <c r="S31" s="162"/>
      <c r="T31" s="169">
        <f t="shared" si="0"/>
        <v>0</v>
      </c>
      <c r="U31" s="169">
        <f t="shared" si="2"/>
        <v>42865</v>
      </c>
    </row>
    <row r="32" spans="2:21" ht="15.6">
      <c r="B32" s="144"/>
      <c r="C32" s="147" t="s">
        <v>71</v>
      </c>
      <c r="D32" s="154">
        <v>300</v>
      </c>
      <c r="E32" s="153">
        <v>140</v>
      </c>
      <c r="F32" s="153"/>
      <c r="G32" s="153"/>
      <c r="H32" s="153"/>
      <c r="I32" s="154">
        <v>20</v>
      </c>
      <c r="J32" s="154"/>
      <c r="K32" s="154">
        <v>860</v>
      </c>
      <c r="L32" s="154"/>
      <c r="M32" s="154">
        <v>3480</v>
      </c>
      <c r="N32" s="154"/>
      <c r="O32" s="154">
        <v>40</v>
      </c>
      <c r="P32" s="157"/>
      <c r="Q32" s="157"/>
      <c r="R32" s="157"/>
      <c r="S32" s="157"/>
      <c r="T32" s="158">
        <f t="shared" si="0"/>
        <v>4840</v>
      </c>
      <c r="U32" s="159">
        <f t="shared" si="2"/>
        <v>47705</v>
      </c>
    </row>
    <row r="33" spans="2:21" ht="15.6">
      <c r="B33" s="152"/>
      <c r="C33" s="155" t="s">
        <v>72</v>
      </c>
      <c r="D33" s="154"/>
      <c r="E33" s="153">
        <v>80</v>
      </c>
      <c r="F33" s="153"/>
      <c r="G33" s="153">
        <v>570</v>
      </c>
      <c r="H33" s="153"/>
      <c r="I33" s="154"/>
      <c r="J33" s="154"/>
      <c r="K33" s="154">
        <v>1040</v>
      </c>
      <c r="L33" s="154"/>
      <c r="M33" s="154">
        <v>520</v>
      </c>
      <c r="N33" s="154"/>
      <c r="O33" s="154">
        <v>130</v>
      </c>
      <c r="P33" s="157">
        <v>435.7</v>
      </c>
      <c r="Q33" s="157">
        <v>100</v>
      </c>
      <c r="R33" s="157">
        <v>190</v>
      </c>
      <c r="S33" s="157"/>
      <c r="T33" s="158">
        <f t="shared" si="0"/>
        <v>3065.7</v>
      </c>
      <c r="U33" s="159">
        <f t="shared" si="2"/>
        <v>50770.7</v>
      </c>
    </row>
    <row r="34" spans="2:21" ht="15.6">
      <c r="B34" s="152"/>
      <c r="C34" s="155" t="s">
        <v>73</v>
      </c>
      <c r="D34" s="154"/>
      <c r="E34" s="153"/>
      <c r="F34" s="153"/>
      <c r="G34" s="153"/>
      <c r="H34" s="153"/>
      <c r="I34" s="154"/>
      <c r="J34" s="154"/>
      <c r="K34" s="154"/>
      <c r="L34" s="154"/>
      <c r="M34" s="154"/>
      <c r="N34" s="154"/>
      <c r="O34" s="154"/>
      <c r="P34" s="157"/>
      <c r="Q34" s="157"/>
      <c r="R34" s="157"/>
      <c r="S34" s="157"/>
      <c r="T34" s="158">
        <f t="shared" si="0"/>
        <v>0</v>
      </c>
      <c r="U34" s="159">
        <f t="shared" si="2"/>
        <v>50770.7</v>
      </c>
    </row>
    <row r="35" spans="2:21" ht="15.6">
      <c r="B35" s="152">
        <v>43</v>
      </c>
      <c r="C35" s="155" t="s">
        <v>74</v>
      </c>
      <c r="D35" s="154"/>
      <c r="E35" s="153">
        <v>90</v>
      </c>
      <c r="F35" s="153"/>
      <c r="G35" s="153">
        <v>1960</v>
      </c>
      <c r="H35" s="153"/>
      <c r="I35" s="154"/>
      <c r="J35" s="154"/>
      <c r="K35" s="154"/>
      <c r="L35" s="154"/>
      <c r="M35" s="154">
        <v>120</v>
      </c>
      <c r="N35" s="154">
        <v>4960</v>
      </c>
      <c r="O35" s="154"/>
      <c r="P35" s="157"/>
      <c r="Q35" s="157"/>
      <c r="R35" s="157">
        <v>60</v>
      </c>
      <c r="S35" s="157"/>
      <c r="T35" s="158">
        <f t="shared" si="0"/>
        <v>7190</v>
      </c>
      <c r="U35" s="159">
        <f t="shared" si="2"/>
        <v>57960.7</v>
      </c>
    </row>
    <row r="36" spans="2:21" ht="15.6">
      <c r="B36" s="152"/>
      <c r="C36" s="155" t="s">
        <v>75</v>
      </c>
      <c r="D36" s="154"/>
      <c r="E36" s="153"/>
      <c r="F36" s="153"/>
      <c r="G36" s="153">
        <v>2073.9</v>
      </c>
      <c r="H36" s="153"/>
      <c r="I36" s="154"/>
      <c r="J36" s="154"/>
      <c r="K36" s="154"/>
      <c r="L36" s="154"/>
      <c r="M36" s="154"/>
      <c r="N36" s="154"/>
      <c r="O36" s="154">
        <v>40</v>
      </c>
      <c r="P36" s="157">
        <v>2540</v>
      </c>
      <c r="Q36" s="157"/>
      <c r="R36" s="157"/>
      <c r="S36" s="157">
        <v>100</v>
      </c>
      <c r="T36" s="158">
        <f t="shared" si="0"/>
        <v>4753.8999999999996</v>
      </c>
      <c r="U36" s="159">
        <f t="shared" si="2"/>
        <v>62714.6</v>
      </c>
    </row>
    <row r="37" spans="2:21" ht="15.6">
      <c r="B37" s="216"/>
      <c r="C37" s="155" t="s">
        <v>76</v>
      </c>
      <c r="D37" s="154"/>
      <c r="E37" s="153"/>
      <c r="F37" s="153"/>
      <c r="G37" s="153"/>
      <c r="H37" s="153"/>
      <c r="I37" s="154"/>
      <c r="J37" s="154"/>
      <c r="K37" s="154"/>
      <c r="L37" s="154"/>
      <c r="M37" s="154"/>
      <c r="N37" s="154"/>
      <c r="O37" s="154"/>
      <c r="P37" s="157"/>
      <c r="Q37" s="157"/>
      <c r="R37" s="157"/>
      <c r="S37" s="157"/>
      <c r="T37" s="158">
        <f t="shared" si="0"/>
        <v>0</v>
      </c>
      <c r="U37" s="159">
        <f t="shared" si="2"/>
        <v>62714.6</v>
      </c>
    </row>
    <row r="38" spans="2:21" ht="16.2" thickBot="1">
      <c r="B38" s="152"/>
      <c r="C38" s="155" t="s">
        <v>77</v>
      </c>
      <c r="D38" s="154"/>
      <c r="E38" s="153"/>
      <c r="F38" s="153"/>
      <c r="G38" s="153"/>
      <c r="H38" s="153"/>
      <c r="I38" s="154"/>
      <c r="J38" s="154"/>
      <c r="K38" s="154"/>
      <c r="L38" s="154"/>
      <c r="M38" s="154"/>
      <c r="N38" s="154"/>
      <c r="O38" s="154"/>
      <c r="P38" s="157"/>
      <c r="Q38" s="157"/>
      <c r="R38" s="157"/>
      <c r="S38" s="157"/>
      <c r="T38" s="158">
        <f t="shared" si="0"/>
        <v>0</v>
      </c>
      <c r="U38" s="159">
        <f t="shared" si="2"/>
        <v>62714.6</v>
      </c>
    </row>
    <row r="39" spans="2:21" ht="15.6">
      <c r="B39" s="144"/>
      <c r="C39" s="145" t="s">
        <v>78</v>
      </c>
      <c r="D39" s="146"/>
      <c r="E39" s="145"/>
      <c r="F39" s="145"/>
      <c r="G39" s="145">
        <v>1398.8</v>
      </c>
      <c r="H39" s="145"/>
      <c r="I39" s="146"/>
      <c r="J39" s="146"/>
      <c r="K39" s="146"/>
      <c r="L39" s="146"/>
      <c r="M39" s="146"/>
      <c r="N39" s="146">
        <v>6060</v>
      </c>
      <c r="O39" s="146"/>
      <c r="P39" s="149"/>
      <c r="Q39" s="149"/>
      <c r="R39" s="149">
        <v>120</v>
      </c>
      <c r="S39" s="149">
        <v>80</v>
      </c>
      <c r="T39" s="150">
        <f t="shared" si="0"/>
        <v>7658.8</v>
      </c>
      <c r="U39" s="151">
        <f t="shared" si="2"/>
        <v>70373.399999999994</v>
      </c>
    </row>
    <row r="40" spans="2:21" ht="15.6">
      <c r="B40" s="152"/>
      <c r="C40" s="153" t="s">
        <v>79</v>
      </c>
      <c r="D40" s="154"/>
      <c r="E40" s="153"/>
      <c r="F40" s="153"/>
      <c r="G40" s="153">
        <v>440</v>
      </c>
      <c r="H40" s="153"/>
      <c r="I40" s="154"/>
      <c r="J40" s="154"/>
      <c r="K40" s="154"/>
      <c r="L40" s="154"/>
      <c r="M40" s="154">
        <v>72.5</v>
      </c>
      <c r="N40" s="154"/>
      <c r="O40" s="154"/>
      <c r="P40" s="157"/>
      <c r="Q40" s="157"/>
      <c r="R40" s="157"/>
      <c r="S40" s="157"/>
      <c r="T40" s="158"/>
      <c r="U40" s="159">
        <f t="shared" si="2"/>
        <v>70373.399999999994</v>
      </c>
    </row>
    <row r="41" spans="2:21" ht="15.6">
      <c r="B41" s="152"/>
      <c r="C41" s="153" t="s">
        <v>80</v>
      </c>
      <c r="D41" s="154">
        <v>2520</v>
      </c>
      <c r="E41" s="153">
        <v>80</v>
      </c>
      <c r="F41" s="153"/>
      <c r="G41" s="153"/>
      <c r="H41" s="153"/>
      <c r="I41" s="154"/>
      <c r="J41" s="154"/>
      <c r="K41" s="154"/>
      <c r="L41" s="154"/>
      <c r="M41" s="154"/>
      <c r="N41" s="154">
        <v>2640</v>
      </c>
      <c r="O41" s="154"/>
      <c r="P41" s="157">
        <v>2620</v>
      </c>
      <c r="Q41" s="157"/>
      <c r="R41" s="157">
        <v>100</v>
      </c>
      <c r="S41" s="157"/>
      <c r="T41" s="158">
        <f t="shared" si="0"/>
        <v>7960</v>
      </c>
      <c r="U41" s="159">
        <f t="shared" si="2"/>
        <v>78333.399999999994</v>
      </c>
    </row>
    <row r="42" spans="2:21" ht="15.6">
      <c r="B42" s="152">
        <v>44</v>
      </c>
      <c r="C42" s="153" t="s">
        <v>81</v>
      </c>
      <c r="D42" s="154">
        <v>640</v>
      </c>
      <c r="E42" s="153"/>
      <c r="F42" s="153"/>
      <c r="G42" s="153">
        <v>420</v>
      </c>
      <c r="H42" s="153"/>
      <c r="I42" s="154"/>
      <c r="J42" s="154"/>
      <c r="K42" s="154">
        <v>180</v>
      </c>
      <c r="L42" s="154"/>
      <c r="M42" s="154">
        <v>80</v>
      </c>
      <c r="N42" s="154">
        <v>1800</v>
      </c>
      <c r="O42" s="154"/>
      <c r="P42" s="157">
        <v>280</v>
      </c>
      <c r="Q42" s="157"/>
      <c r="R42" s="157"/>
      <c r="S42" s="157"/>
      <c r="T42" s="158">
        <f t="shared" si="0"/>
        <v>3400</v>
      </c>
      <c r="U42" s="159">
        <f t="shared" si="2"/>
        <v>81733.399999999994</v>
      </c>
    </row>
    <row r="43" spans="2:21" ht="15.6">
      <c r="B43" s="152"/>
      <c r="C43" s="153" t="s">
        <v>82</v>
      </c>
      <c r="D43" s="154"/>
      <c r="E43" s="153"/>
      <c r="F43" s="153"/>
      <c r="G43" s="153"/>
      <c r="H43" s="153"/>
      <c r="I43" s="154"/>
      <c r="J43" s="154"/>
      <c r="K43" s="154"/>
      <c r="L43" s="154"/>
      <c r="M43" s="154"/>
      <c r="N43" s="154"/>
      <c r="O43" s="154"/>
      <c r="P43" s="157"/>
      <c r="Q43" s="157"/>
      <c r="R43" s="157"/>
      <c r="S43" s="157"/>
      <c r="T43" s="158">
        <f t="shared" si="0"/>
        <v>0</v>
      </c>
      <c r="U43" s="159">
        <f t="shared" si="2"/>
        <v>81733.399999999994</v>
      </c>
    </row>
    <row r="44" spans="2:21" ht="15.6">
      <c r="B44" s="216"/>
      <c r="C44" s="153" t="s">
        <v>83</v>
      </c>
      <c r="D44" s="154"/>
      <c r="E44" s="153"/>
      <c r="F44" s="153"/>
      <c r="G44" s="153"/>
      <c r="H44" s="153"/>
      <c r="I44" s="154"/>
      <c r="J44" s="154"/>
      <c r="K44" s="154"/>
      <c r="L44" s="154"/>
      <c r="M44" s="154"/>
      <c r="N44" s="154"/>
      <c r="O44" s="154"/>
      <c r="P44" s="157"/>
      <c r="Q44" s="157"/>
      <c r="R44" s="157"/>
      <c r="S44" s="157"/>
      <c r="T44" s="158">
        <f t="shared" si="0"/>
        <v>0</v>
      </c>
      <c r="U44" s="159">
        <f t="shared" si="2"/>
        <v>81733.399999999994</v>
      </c>
    </row>
    <row r="45" spans="2:21" ht="16.2" thickBot="1">
      <c r="B45" s="160"/>
      <c r="C45" s="161" t="s">
        <v>84</v>
      </c>
      <c r="D45" s="154"/>
      <c r="E45" s="153"/>
      <c r="F45" s="153"/>
      <c r="G45" s="153"/>
      <c r="H45" s="153"/>
      <c r="I45" s="154"/>
      <c r="J45" s="154"/>
      <c r="K45" s="154"/>
      <c r="L45" s="154"/>
      <c r="M45" s="154"/>
      <c r="N45" s="154"/>
      <c r="O45" s="154"/>
      <c r="P45" s="157"/>
      <c r="Q45" s="157"/>
      <c r="R45" s="157"/>
      <c r="S45" s="157"/>
      <c r="T45" s="158">
        <f t="shared" si="0"/>
        <v>0</v>
      </c>
      <c r="U45" s="159">
        <f t="shared" si="2"/>
        <v>81733.399999999994</v>
      </c>
    </row>
    <row r="46" spans="2:21" ht="15.6">
      <c r="B46" s="144"/>
      <c r="C46" s="147" t="s">
        <v>85</v>
      </c>
      <c r="D46" s="146"/>
      <c r="E46" s="145"/>
      <c r="F46" s="145"/>
      <c r="G46" s="145"/>
      <c r="H46" s="145"/>
      <c r="I46" s="146"/>
      <c r="J46" s="146"/>
      <c r="K46" s="146"/>
      <c r="L46" s="146"/>
      <c r="M46" s="146"/>
      <c r="N46" s="146"/>
      <c r="O46" s="146"/>
      <c r="P46" s="149"/>
      <c r="Q46" s="149"/>
      <c r="R46" s="149"/>
      <c r="S46" s="149"/>
      <c r="T46" s="150">
        <f t="shared" si="0"/>
        <v>0</v>
      </c>
      <c r="U46" s="150">
        <f t="shared" si="2"/>
        <v>81733.399999999994</v>
      </c>
    </row>
    <row r="47" spans="2:21" ht="15.6">
      <c r="B47" s="152"/>
      <c r="C47" s="155" t="s">
        <v>86</v>
      </c>
      <c r="D47" s="154"/>
      <c r="E47" s="153"/>
      <c r="F47" s="153"/>
      <c r="G47" s="153"/>
      <c r="H47" s="153"/>
      <c r="I47" s="154"/>
      <c r="J47" s="154"/>
      <c r="K47" s="154"/>
      <c r="L47" s="154"/>
      <c r="M47" s="154"/>
      <c r="N47" s="154"/>
      <c r="O47" s="154"/>
      <c r="P47" s="157"/>
      <c r="Q47" s="157"/>
      <c r="R47" s="157"/>
      <c r="S47" s="157"/>
      <c r="T47" s="158">
        <f t="shared" si="0"/>
        <v>0</v>
      </c>
      <c r="U47" s="158">
        <f t="shared" si="2"/>
        <v>81733.399999999994</v>
      </c>
    </row>
    <row r="48" spans="2:21" ht="15.6">
      <c r="B48" s="152"/>
      <c r="C48" s="155" t="s">
        <v>87</v>
      </c>
      <c r="D48" s="154"/>
      <c r="E48" s="153"/>
      <c r="F48" s="153"/>
      <c r="G48" s="153"/>
      <c r="H48" s="153"/>
      <c r="I48" s="154"/>
      <c r="J48" s="154"/>
      <c r="K48" s="154"/>
      <c r="L48" s="154"/>
      <c r="M48" s="154"/>
      <c r="N48" s="154"/>
      <c r="O48" s="154"/>
      <c r="P48" s="157"/>
      <c r="Q48" s="157"/>
      <c r="R48" s="157"/>
      <c r="S48" s="157"/>
      <c r="T48" s="158">
        <f t="shared" si="0"/>
        <v>0</v>
      </c>
      <c r="U48" s="158">
        <f t="shared" si="2"/>
        <v>81733.399999999994</v>
      </c>
    </row>
    <row r="49" spans="2:21" ht="15.6">
      <c r="B49" s="152">
        <v>45</v>
      </c>
      <c r="C49" s="155" t="s">
        <v>88</v>
      </c>
      <c r="D49" s="154"/>
      <c r="E49" s="153"/>
      <c r="F49" s="153"/>
      <c r="G49" s="153"/>
      <c r="H49" s="153"/>
      <c r="I49" s="154"/>
      <c r="J49" s="154"/>
      <c r="K49" s="154"/>
      <c r="L49" s="154"/>
      <c r="M49" s="154"/>
      <c r="N49" s="154"/>
      <c r="O49" s="154">
        <v>1280</v>
      </c>
      <c r="P49" s="171">
        <v>2220</v>
      </c>
      <c r="Q49" s="171"/>
      <c r="R49" s="171"/>
      <c r="S49" s="171"/>
      <c r="T49" s="158">
        <f t="shared" si="0"/>
        <v>3500</v>
      </c>
      <c r="U49" s="158">
        <f t="shared" si="2"/>
        <v>85233.4</v>
      </c>
    </row>
    <row r="50" spans="2:21" ht="15.6">
      <c r="B50" s="216"/>
      <c r="C50" s="155" t="s">
        <v>89</v>
      </c>
      <c r="D50" s="154"/>
      <c r="E50" s="153"/>
      <c r="F50" s="153">
        <v>260</v>
      </c>
      <c r="G50" s="153"/>
      <c r="H50" s="153"/>
      <c r="I50" s="154"/>
      <c r="J50" s="154"/>
      <c r="K50" s="154"/>
      <c r="L50" s="154"/>
      <c r="M50" s="154"/>
      <c r="N50" s="154">
        <v>3320</v>
      </c>
      <c r="O50" s="154"/>
      <c r="P50" s="171"/>
      <c r="Q50" s="171"/>
      <c r="R50" s="171"/>
      <c r="S50" s="171"/>
      <c r="T50" s="158">
        <f t="shared" si="0"/>
        <v>3580</v>
      </c>
      <c r="U50" s="158">
        <f t="shared" si="2"/>
        <v>88813.4</v>
      </c>
    </row>
    <row r="51" spans="2:21" ht="15.6">
      <c r="B51" s="152"/>
      <c r="C51" s="155" t="s">
        <v>90</v>
      </c>
      <c r="D51" s="154"/>
      <c r="E51" s="153"/>
      <c r="F51" s="153"/>
      <c r="G51" s="153"/>
      <c r="H51" s="153"/>
      <c r="I51" s="154"/>
      <c r="J51" s="154"/>
      <c r="K51" s="154"/>
      <c r="L51" s="154"/>
      <c r="M51" s="154"/>
      <c r="N51" s="154"/>
      <c r="O51" s="154"/>
      <c r="P51" s="171"/>
      <c r="Q51" s="171"/>
      <c r="R51" s="171"/>
      <c r="S51" s="171"/>
      <c r="T51" s="158">
        <f t="shared" si="0"/>
        <v>0</v>
      </c>
      <c r="U51" s="158">
        <f t="shared" si="2"/>
        <v>88813.4</v>
      </c>
    </row>
    <row r="52" spans="2:21" ht="16.2" thickBot="1">
      <c r="B52" s="160"/>
      <c r="C52" s="165" t="s">
        <v>91</v>
      </c>
      <c r="D52" s="166"/>
      <c r="E52" s="161"/>
      <c r="F52" s="161"/>
      <c r="G52" s="161"/>
      <c r="H52" s="161"/>
      <c r="I52" s="166"/>
      <c r="J52" s="166"/>
      <c r="K52" s="166"/>
      <c r="L52" s="166"/>
      <c r="M52" s="166"/>
      <c r="N52" s="166"/>
      <c r="O52" s="166"/>
      <c r="P52" s="172"/>
      <c r="Q52" s="172"/>
      <c r="R52" s="172"/>
      <c r="S52" s="172"/>
      <c r="T52" s="169">
        <f t="shared" si="0"/>
        <v>0</v>
      </c>
      <c r="U52" s="169">
        <f t="shared" si="2"/>
        <v>88813.4</v>
      </c>
    </row>
    <row r="53" spans="2:21" ht="15.6">
      <c r="B53" s="144"/>
      <c r="C53" s="147" t="s">
        <v>92</v>
      </c>
      <c r="D53" s="146"/>
      <c r="E53" s="145"/>
      <c r="F53" s="145">
        <v>2937.9</v>
      </c>
      <c r="G53" s="145">
        <v>6490</v>
      </c>
      <c r="H53" s="145"/>
      <c r="I53" s="146"/>
      <c r="J53" s="146"/>
      <c r="K53" s="146"/>
      <c r="L53" s="146"/>
      <c r="M53" s="146"/>
      <c r="N53" s="146"/>
      <c r="O53" s="146">
        <v>7520</v>
      </c>
      <c r="P53" s="173"/>
      <c r="Q53" s="173"/>
      <c r="R53" s="173"/>
      <c r="S53" s="173"/>
      <c r="T53" s="150">
        <f t="shared" si="0"/>
        <v>16947.900000000001</v>
      </c>
      <c r="U53" s="151">
        <f t="shared" si="2"/>
        <v>105761.29999999999</v>
      </c>
    </row>
    <row r="54" spans="2:21" ht="15.6">
      <c r="B54" s="152"/>
      <c r="C54" s="155" t="s">
        <v>93</v>
      </c>
      <c r="D54" s="154">
        <f t="shared" ref="D54:S54" si="3">D163*D$110</f>
        <v>0</v>
      </c>
      <c r="E54" s="153">
        <f t="shared" si="3"/>
        <v>0</v>
      </c>
      <c r="F54" s="153">
        <v>9340</v>
      </c>
      <c r="G54" s="153">
        <f t="shared" si="3"/>
        <v>0</v>
      </c>
      <c r="H54" s="153">
        <f t="shared" si="3"/>
        <v>0</v>
      </c>
      <c r="I54" s="154">
        <f t="shared" si="3"/>
        <v>0</v>
      </c>
      <c r="J54" s="154">
        <f t="shared" si="3"/>
        <v>0</v>
      </c>
      <c r="K54" s="154">
        <v>200</v>
      </c>
      <c r="L54" s="154">
        <f t="shared" si="3"/>
        <v>0</v>
      </c>
      <c r="M54" s="154">
        <f t="shared" si="3"/>
        <v>0</v>
      </c>
      <c r="N54" s="154">
        <f t="shared" si="3"/>
        <v>0</v>
      </c>
      <c r="O54" s="154">
        <f t="shared" si="3"/>
        <v>0</v>
      </c>
      <c r="P54" s="171">
        <v>6620</v>
      </c>
      <c r="Q54" s="171">
        <f t="shared" si="3"/>
        <v>0</v>
      </c>
      <c r="R54" s="171">
        <f t="shared" si="3"/>
        <v>0</v>
      </c>
      <c r="S54" s="171">
        <f t="shared" si="3"/>
        <v>0</v>
      </c>
      <c r="T54" s="158">
        <f t="shared" si="0"/>
        <v>16160</v>
      </c>
      <c r="U54" s="159">
        <f t="shared" si="2"/>
        <v>121921.29999999999</v>
      </c>
    </row>
    <row r="55" spans="2:21" ht="15.6">
      <c r="B55" s="152"/>
      <c r="C55" s="155" t="s">
        <v>94</v>
      </c>
      <c r="D55" s="154"/>
      <c r="E55" s="153"/>
      <c r="F55" s="153">
        <v>7340</v>
      </c>
      <c r="G55" s="153"/>
      <c r="H55" s="153"/>
      <c r="I55" s="154"/>
      <c r="J55" s="154"/>
      <c r="K55" s="154">
        <v>120</v>
      </c>
      <c r="L55" s="154"/>
      <c r="M55" s="154">
        <v>180</v>
      </c>
      <c r="N55" s="154">
        <v>1640</v>
      </c>
      <c r="O55" s="154">
        <v>4260</v>
      </c>
      <c r="P55" s="171">
        <v>5060</v>
      </c>
      <c r="Q55" s="171"/>
      <c r="R55" s="171"/>
      <c r="S55" s="171"/>
      <c r="T55" s="158">
        <f t="shared" si="0"/>
        <v>18600</v>
      </c>
      <c r="U55" s="159">
        <f t="shared" si="2"/>
        <v>140521.29999999999</v>
      </c>
    </row>
    <row r="56" spans="2:21" ht="15.6">
      <c r="B56" s="152">
        <v>46</v>
      </c>
      <c r="C56" s="155" t="s">
        <v>95</v>
      </c>
      <c r="D56" s="154">
        <v>60</v>
      </c>
      <c r="E56" s="153">
        <v>40</v>
      </c>
      <c r="F56" s="153">
        <v>0</v>
      </c>
      <c r="G56" s="153"/>
      <c r="H56" s="153"/>
      <c r="I56" s="154"/>
      <c r="J56" s="154"/>
      <c r="K56" s="154">
        <v>0</v>
      </c>
      <c r="L56" s="154">
        <v>13320</v>
      </c>
      <c r="M56" s="154">
        <v>60</v>
      </c>
      <c r="N56" s="154">
        <v>7480</v>
      </c>
      <c r="O56" s="154">
        <v>200</v>
      </c>
      <c r="P56" s="171"/>
      <c r="Q56" s="171"/>
      <c r="R56" s="171"/>
      <c r="S56" s="171"/>
      <c r="T56" s="158">
        <f t="shared" si="0"/>
        <v>21160</v>
      </c>
      <c r="U56" s="159">
        <f t="shared" si="2"/>
        <v>161681.29999999999</v>
      </c>
    </row>
    <row r="57" spans="2:21" ht="15.6">
      <c r="B57" s="216"/>
      <c r="C57" s="155" t="s">
        <v>96</v>
      </c>
      <c r="D57" s="154"/>
      <c r="E57" s="153"/>
      <c r="F57" s="153">
        <v>0</v>
      </c>
      <c r="G57" s="153">
        <v>10</v>
      </c>
      <c r="H57" s="153">
        <v>20</v>
      </c>
      <c r="I57" s="154"/>
      <c r="J57" s="154"/>
      <c r="K57" s="154">
        <v>0</v>
      </c>
      <c r="L57" s="154">
        <v>22120</v>
      </c>
      <c r="M57" s="154"/>
      <c r="N57" s="154"/>
      <c r="O57" s="154"/>
      <c r="P57" s="171">
        <v>500</v>
      </c>
      <c r="Q57" s="171"/>
      <c r="R57" s="171"/>
      <c r="S57" s="171"/>
      <c r="T57" s="158">
        <f t="shared" si="0"/>
        <v>22650</v>
      </c>
      <c r="U57" s="159">
        <f t="shared" si="2"/>
        <v>184331.3</v>
      </c>
    </row>
    <row r="58" spans="2:21" ht="15.6">
      <c r="B58" s="152"/>
      <c r="C58" s="155" t="s">
        <v>98</v>
      </c>
      <c r="D58" s="154"/>
      <c r="E58" s="153">
        <v>180</v>
      </c>
      <c r="F58" s="153">
        <v>0</v>
      </c>
      <c r="G58" s="153">
        <v>3720</v>
      </c>
      <c r="H58" s="153"/>
      <c r="I58" s="154"/>
      <c r="J58" s="154"/>
      <c r="K58" s="154">
        <v>0</v>
      </c>
      <c r="L58" s="154"/>
      <c r="M58" s="154">
        <v>1760</v>
      </c>
      <c r="N58" s="154"/>
      <c r="O58" s="154">
        <v>3040</v>
      </c>
      <c r="P58" s="171"/>
      <c r="Q58" s="171"/>
      <c r="R58" s="171"/>
      <c r="S58" s="171"/>
      <c r="T58" s="158">
        <f t="shared" si="0"/>
        <v>8700</v>
      </c>
      <c r="U58" s="159">
        <f t="shared" si="2"/>
        <v>193031.3</v>
      </c>
    </row>
    <row r="59" spans="2:21" ht="16.2" thickBot="1">
      <c r="B59" s="160"/>
      <c r="C59" s="165" t="s">
        <v>99</v>
      </c>
      <c r="D59" s="166"/>
      <c r="E59" s="161"/>
      <c r="F59" s="161">
        <v>0</v>
      </c>
      <c r="G59" s="161"/>
      <c r="H59" s="161"/>
      <c r="I59" s="166"/>
      <c r="J59" s="166"/>
      <c r="K59" s="166"/>
      <c r="L59" s="166"/>
      <c r="M59" s="166"/>
      <c r="N59" s="166"/>
      <c r="O59" s="166"/>
      <c r="P59" s="172"/>
      <c r="Q59" s="172"/>
      <c r="R59" s="172"/>
      <c r="S59" s="172"/>
      <c r="T59" s="169">
        <f t="shared" si="0"/>
        <v>0</v>
      </c>
      <c r="U59" s="170">
        <f t="shared" si="2"/>
        <v>193031.3</v>
      </c>
    </row>
    <row r="60" spans="2:21" ht="15.6">
      <c r="B60" s="144"/>
      <c r="C60" s="147" t="s">
        <v>100</v>
      </c>
      <c r="D60" s="146"/>
      <c r="E60" s="145">
        <v>300</v>
      </c>
      <c r="F60" s="145">
        <v>0</v>
      </c>
      <c r="G60" s="145">
        <v>7380</v>
      </c>
      <c r="H60" s="145">
        <v>1540</v>
      </c>
      <c r="I60" s="146"/>
      <c r="J60" s="146"/>
      <c r="K60" s="146">
        <v>0</v>
      </c>
      <c r="L60" s="146">
        <v>10240</v>
      </c>
      <c r="M60" s="146"/>
      <c r="N60" s="146"/>
      <c r="O60" s="146"/>
      <c r="P60" s="173">
        <v>2180</v>
      </c>
      <c r="Q60" s="173"/>
      <c r="R60" s="173"/>
      <c r="S60" s="173"/>
      <c r="T60" s="150">
        <f t="shared" si="0"/>
        <v>21640</v>
      </c>
      <c r="U60" s="151">
        <f t="shared" si="2"/>
        <v>214671.3</v>
      </c>
    </row>
    <row r="61" spans="2:21" ht="15.6">
      <c r="B61" s="152"/>
      <c r="C61" s="155" t="s">
        <v>101</v>
      </c>
      <c r="D61" s="154"/>
      <c r="E61" s="153">
        <v>200</v>
      </c>
      <c r="F61" s="153">
        <v>0</v>
      </c>
      <c r="G61" s="153"/>
      <c r="H61" s="153">
        <v>7520</v>
      </c>
      <c r="I61" s="154"/>
      <c r="J61" s="154">
        <v>1840</v>
      </c>
      <c r="K61" s="154">
        <v>0</v>
      </c>
      <c r="L61" s="154"/>
      <c r="M61" s="154"/>
      <c r="N61" s="154">
        <v>1120</v>
      </c>
      <c r="O61" s="154">
        <v>2360</v>
      </c>
      <c r="P61" s="171">
        <v>3160</v>
      </c>
      <c r="Q61" s="171">
        <v>140</v>
      </c>
      <c r="R61" s="171">
        <v>1060</v>
      </c>
      <c r="S61" s="171"/>
      <c r="T61" s="158">
        <f t="shared" si="0"/>
        <v>17400</v>
      </c>
      <c r="U61" s="159">
        <f t="shared" si="2"/>
        <v>232071.3</v>
      </c>
    </row>
    <row r="62" spans="2:21" ht="15.6">
      <c r="B62" s="152"/>
      <c r="C62" s="155" t="s">
        <v>102</v>
      </c>
      <c r="D62" s="154"/>
      <c r="E62" s="153">
        <f>50+180</f>
        <v>230</v>
      </c>
      <c r="F62" s="153">
        <v>0</v>
      </c>
      <c r="G62" s="153"/>
      <c r="H62" s="153"/>
      <c r="I62" s="154">
        <v>10960</v>
      </c>
      <c r="J62" s="154">
        <v>10780</v>
      </c>
      <c r="K62" s="154">
        <v>0</v>
      </c>
      <c r="L62" s="154"/>
      <c r="M62" s="154"/>
      <c r="N62" s="154">
        <v>1620</v>
      </c>
      <c r="O62" s="154"/>
      <c r="P62" s="171"/>
      <c r="Q62" s="171"/>
      <c r="R62" s="171"/>
      <c r="S62" s="171"/>
      <c r="T62" s="158">
        <f t="shared" si="0"/>
        <v>23590</v>
      </c>
      <c r="U62" s="159">
        <f t="shared" si="2"/>
        <v>255661.3</v>
      </c>
    </row>
    <row r="63" spans="2:21" ht="15.6">
      <c r="B63" s="152">
        <v>47</v>
      </c>
      <c r="C63" s="155" t="s">
        <v>103</v>
      </c>
      <c r="D63" s="154"/>
      <c r="E63" s="153">
        <v>1260</v>
      </c>
      <c r="F63" s="153">
        <v>0</v>
      </c>
      <c r="G63" s="153"/>
      <c r="H63" s="153"/>
      <c r="I63" s="171">
        <v>11760</v>
      </c>
      <c r="J63" s="154">
        <v>7640</v>
      </c>
      <c r="K63" s="154">
        <v>0</v>
      </c>
      <c r="L63" s="171"/>
      <c r="M63" s="154"/>
      <c r="N63" s="154"/>
      <c r="O63" s="154"/>
      <c r="P63" s="171"/>
      <c r="Q63" s="171"/>
      <c r="R63" s="171"/>
      <c r="S63" s="171"/>
      <c r="T63" s="158">
        <f t="shared" si="0"/>
        <v>20660</v>
      </c>
      <c r="U63" s="159">
        <f t="shared" si="2"/>
        <v>276321.3</v>
      </c>
    </row>
    <row r="64" spans="2:21" ht="15.6">
      <c r="B64" s="216"/>
      <c r="C64" s="155" t="s">
        <v>104</v>
      </c>
      <c r="D64" s="154">
        <v>7580</v>
      </c>
      <c r="E64" s="153"/>
      <c r="F64" s="153">
        <v>0</v>
      </c>
      <c r="G64" s="153"/>
      <c r="H64" s="153"/>
      <c r="I64" s="171">
        <f>7900+720</f>
        <v>8620</v>
      </c>
      <c r="J64" s="154"/>
      <c r="K64" s="154">
        <v>260</v>
      </c>
      <c r="L64" s="154">
        <v>740</v>
      </c>
      <c r="M64" s="154"/>
      <c r="N64" s="154"/>
      <c r="O64" s="154"/>
      <c r="P64" s="171"/>
      <c r="Q64" s="171"/>
      <c r="R64" s="171"/>
      <c r="S64" s="171"/>
      <c r="T64" s="158">
        <f t="shared" si="0"/>
        <v>17200</v>
      </c>
      <c r="U64" s="159">
        <f t="shared" si="2"/>
        <v>293521.3</v>
      </c>
    </row>
    <row r="65" spans="2:21" ht="15.6">
      <c r="B65" s="152"/>
      <c r="C65" s="155" t="s">
        <v>105</v>
      </c>
      <c r="D65" s="154">
        <v>8280</v>
      </c>
      <c r="E65" s="153"/>
      <c r="F65" s="153">
        <v>0</v>
      </c>
      <c r="G65" s="153"/>
      <c r="H65" s="153"/>
      <c r="I65" s="154">
        <v>820</v>
      </c>
      <c r="J65" s="154"/>
      <c r="K65" s="154"/>
      <c r="L65" s="171"/>
      <c r="M65" s="154"/>
      <c r="N65" s="154"/>
      <c r="O65" s="154"/>
      <c r="P65" s="171"/>
      <c r="Q65" s="171"/>
      <c r="R65" s="171"/>
      <c r="S65" s="171"/>
      <c r="T65" s="158">
        <f t="shared" si="0"/>
        <v>9100</v>
      </c>
      <c r="U65" s="159">
        <f t="shared" si="2"/>
        <v>302621.3</v>
      </c>
    </row>
    <row r="66" spans="2:21" ht="16.2" thickBot="1">
      <c r="B66" s="160"/>
      <c r="C66" s="165" t="s">
        <v>106</v>
      </c>
      <c r="D66" s="166"/>
      <c r="E66" s="161"/>
      <c r="F66" s="161">
        <v>0</v>
      </c>
      <c r="G66" s="161"/>
      <c r="H66" s="161"/>
      <c r="I66" s="166"/>
      <c r="J66" s="166"/>
      <c r="K66" s="166"/>
      <c r="L66" s="166"/>
      <c r="M66" s="166"/>
      <c r="N66" s="166"/>
      <c r="O66" s="166"/>
      <c r="P66" s="172"/>
      <c r="Q66" s="172"/>
      <c r="R66" s="172"/>
      <c r="S66" s="172"/>
      <c r="T66" s="169">
        <f t="shared" si="0"/>
        <v>0</v>
      </c>
      <c r="U66" s="170">
        <f t="shared" si="2"/>
        <v>302621.3</v>
      </c>
    </row>
    <row r="67" spans="2:21" ht="15.6">
      <c r="B67" s="144"/>
      <c r="C67" s="147" t="s">
        <v>107</v>
      </c>
      <c r="D67" s="146">
        <v>22920</v>
      </c>
      <c r="E67" s="145"/>
      <c r="F67" s="145"/>
      <c r="G67" s="145"/>
      <c r="H67" s="145"/>
      <c r="I67" s="146">
        <v>200</v>
      </c>
      <c r="J67" s="146"/>
      <c r="K67" s="146">
        <v>0</v>
      </c>
      <c r="L67" s="146"/>
      <c r="M67" s="146"/>
      <c r="N67" s="146"/>
      <c r="O67" s="146"/>
      <c r="P67" s="173"/>
      <c r="Q67" s="173"/>
      <c r="R67" s="173"/>
      <c r="S67" s="173"/>
      <c r="T67" s="150">
        <f t="shared" si="0"/>
        <v>23120</v>
      </c>
      <c r="U67" s="151">
        <f t="shared" si="2"/>
        <v>325741.3</v>
      </c>
    </row>
    <row r="68" spans="2:21" ht="15.6">
      <c r="B68" s="174"/>
      <c r="C68" s="175" t="s">
        <v>108</v>
      </c>
      <c r="D68" s="176">
        <v>20360</v>
      </c>
      <c r="E68" s="177"/>
      <c r="F68" s="177"/>
      <c r="G68" s="177"/>
      <c r="H68" s="177"/>
      <c r="I68" s="176"/>
      <c r="J68" s="176"/>
      <c r="K68" s="176">
        <v>0</v>
      </c>
      <c r="L68" s="176"/>
      <c r="M68" s="176"/>
      <c r="N68" s="176"/>
      <c r="O68" s="176"/>
      <c r="P68" s="178"/>
      <c r="Q68" s="178"/>
      <c r="R68" s="178"/>
      <c r="S68" s="178"/>
      <c r="T68" s="179">
        <f t="shared" si="0"/>
        <v>20360</v>
      </c>
      <c r="U68" s="180">
        <f t="shared" si="2"/>
        <v>346101.3</v>
      </c>
    </row>
    <row r="69" spans="2:21" ht="15.6">
      <c r="B69" s="174"/>
      <c r="C69" s="175" t="s">
        <v>109</v>
      </c>
      <c r="D69" s="176">
        <v>17740</v>
      </c>
      <c r="E69" s="177"/>
      <c r="F69" s="177"/>
      <c r="G69" s="177"/>
      <c r="H69" s="177"/>
      <c r="I69" s="176"/>
      <c r="J69" s="176"/>
      <c r="K69" s="176">
        <v>0</v>
      </c>
      <c r="L69" s="176"/>
      <c r="M69" s="176"/>
      <c r="N69" s="176"/>
      <c r="O69" s="176"/>
      <c r="P69" s="178"/>
      <c r="Q69" s="178"/>
      <c r="R69" s="178"/>
      <c r="S69" s="178"/>
      <c r="T69" s="179">
        <f t="shared" si="0"/>
        <v>17740</v>
      </c>
      <c r="U69" s="180">
        <f t="shared" si="2"/>
        <v>363841.3</v>
      </c>
    </row>
    <row r="70" spans="2:21" ht="15.6">
      <c r="B70" s="116">
        <v>48</v>
      </c>
      <c r="C70" s="117" t="s">
        <v>110</v>
      </c>
      <c r="D70" s="181">
        <v>18720</v>
      </c>
      <c r="E70" s="141"/>
      <c r="F70" s="141"/>
      <c r="G70" s="141"/>
      <c r="H70" s="141"/>
      <c r="I70" s="181"/>
      <c r="J70" s="181"/>
      <c r="K70" s="181">
        <v>0</v>
      </c>
      <c r="L70" s="181"/>
      <c r="M70" s="181"/>
      <c r="N70" s="181"/>
      <c r="O70" s="181"/>
      <c r="P70" s="182"/>
      <c r="Q70" s="182"/>
      <c r="R70" s="182"/>
      <c r="S70" s="182"/>
      <c r="T70" s="118">
        <f t="shared" ref="T70:T90" si="4">SUM(D70:S70)</f>
        <v>18720</v>
      </c>
      <c r="U70" s="119">
        <f t="shared" si="2"/>
        <v>382561.3</v>
      </c>
    </row>
    <row r="71" spans="2:21" ht="15.6">
      <c r="B71" s="217"/>
      <c r="C71" s="117" t="s">
        <v>111</v>
      </c>
      <c r="D71" s="181">
        <v>4860</v>
      </c>
      <c r="E71" s="141">
        <v>260</v>
      </c>
      <c r="F71" s="141"/>
      <c r="G71" s="141"/>
      <c r="H71" s="141"/>
      <c r="I71" s="181"/>
      <c r="J71" s="181"/>
      <c r="K71" s="181">
        <v>0</v>
      </c>
      <c r="L71" s="181"/>
      <c r="M71" s="181"/>
      <c r="N71" s="181"/>
      <c r="O71" s="181"/>
      <c r="P71" s="182"/>
      <c r="Q71" s="182"/>
      <c r="R71" s="182"/>
      <c r="S71" s="182"/>
      <c r="T71" s="118">
        <f t="shared" si="4"/>
        <v>5120</v>
      </c>
      <c r="U71" s="119">
        <f t="shared" si="2"/>
        <v>387681.3</v>
      </c>
    </row>
    <row r="72" spans="2:21" ht="15.6">
      <c r="B72" s="116"/>
      <c r="C72" s="117" t="s">
        <v>112</v>
      </c>
      <c r="D72" s="181"/>
      <c r="E72" s="141"/>
      <c r="F72" s="141"/>
      <c r="G72" s="141"/>
      <c r="H72" s="141"/>
      <c r="I72" s="181"/>
      <c r="J72" s="181"/>
      <c r="K72" s="181"/>
      <c r="L72" s="181"/>
      <c r="M72" s="181"/>
      <c r="N72" s="181"/>
      <c r="O72" s="181"/>
      <c r="P72" s="183"/>
      <c r="Q72" s="183"/>
      <c r="R72" s="183"/>
      <c r="S72" s="183"/>
      <c r="T72" s="118">
        <f t="shared" si="4"/>
        <v>0</v>
      </c>
      <c r="U72" s="119">
        <f t="shared" ref="U72:U91" si="5">+T72+U71</f>
        <v>387681.3</v>
      </c>
    </row>
    <row r="73" spans="2:21" ht="16.2" thickBot="1">
      <c r="B73" s="120"/>
      <c r="C73" s="121" t="s">
        <v>113</v>
      </c>
      <c r="D73" s="184"/>
      <c r="E73" s="185"/>
      <c r="F73" s="185"/>
      <c r="G73" s="185"/>
      <c r="H73" s="185"/>
      <c r="I73" s="184"/>
      <c r="J73" s="184"/>
      <c r="K73" s="184"/>
      <c r="L73" s="184"/>
      <c r="M73" s="184"/>
      <c r="N73" s="184"/>
      <c r="O73" s="184"/>
      <c r="P73" s="186"/>
      <c r="Q73" s="186"/>
      <c r="R73" s="186"/>
      <c r="S73" s="186"/>
      <c r="T73" s="122">
        <f t="shared" si="4"/>
        <v>0</v>
      </c>
      <c r="U73" s="123">
        <f t="shared" si="5"/>
        <v>387681.3</v>
      </c>
    </row>
    <row r="74" spans="2:21" ht="15.6">
      <c r="B74" s="125"/>
      <c r="C74" s="126" t="s">
        <v>114</v>
      </c>
      <c r="D74" s="181">
        <v>0</v>
      </c>
      <c r="E74" s="187">
        <f t="shared" ref="E74:S85" si="6">E183*E$110</f>
        <v>0</v>
      </c>
      <c r="F74" s="187">
        <f t="shared" si="6"/>
        <v>0</v>
      </c>
      <c r="G74" s="187">
        <f t="shared" si="6"/>
        <v>0</v>
      </c>
      <c r="H74" s="187">
        <f t="shared" si="6"/>
        <v>0</v>
      </c>
      <c r="I74" s="188">
        <f t="shared" si="6"/>
        <v>0</v>
      </c>
      <c r="J74" s="188">
        <f t="shared" si="6"/>
        <v>0</v>
      </c>
      <c r="K74" s="188">
        <f t="shared" si="6"/>
        <v>0</v>
      </c>
      <c r="L74" s="188">
        <f t="shared" si="6"/>
        <v>0</v>
      </c>
      <c r="M74" s="188">
        <f t="shared" si="6"/>
        <v>0</v>
      </c>
      <c r="N74" s="188">
        <f t="shared" si="6"/>
        <v>0</v>
      </c>
      <c r="O74" s="188">
        <f t="shared" si="6"/>
        <v>0</v>
      </c>
      <c r="P74" s="189">
        <f t="shared" si="6"/>
        <v>0</v>
      </c>
      <c r="Q74" s="189">
        <f t="shared" si="6"/>
        <v>0</v>
      </c>
      <c r="R74" s="189">
        <f t="shared" si="6"/>
        <v>0</v>
      </c>
      <c r="S74" s="189">
        <f t="shared" si="6"/>
        <v>0</v>
      </c>
      <c r="T74" s="190">
        <f t="shared" si="4"/>
        <v>0</v>
      </c>
      <c r="U74" s="191">
        <f t="shared" si="5"/>
        <v>387681.3</v>
      </c>
    </row>
    <row r="75" spans="2:21" ht="15.6">
      <c r="B75" s="116"/>
      <c r="C75" s="117" t="s">
        <v>115</v>
      </c>
      <c r="D75" s="181">
        <v>0</v>
      </c>
      <c r="E75" s="141">
        <f t="shared" si="6"/>
        <v>0</v>
      </c>
      <c r="F75" s="141">
        <f t="shared" si="6"/>
        <v>0</v>
      </c>
      <c r="G75" s="141">
        <f t="shared" si="6"/>
        <v>0</v>
      </c>
      <c r="H75" s="141">
        <f t="shared" si="6"/>
        <v>0</v>
      </c>
      <c r="I75" s="181">
        <f t="shared" si="6"/>
        <v>0</v>
      </c>
      <c r="J75" s="181">
        <f t="shared" si="6"/>
        <v>0</v>
      </c>
      <c r="K75" s="181">
        <f t="shared" si="6"/>
        <v>0</v>
      </c>
      <c r="L75" s="181">
        <f t="shared" si="6"/>
        <v>0</v>
      </c>
      <c r="M75" s="181">
        <f t="shared" si="6"/>
        <v>0</v>
      </c>
      <c r="N75" s="181">
        <f t="shared" si="6"/>
        <v>0</v>
      </c>
      <c r="O75" s="181">
        <f t="shared" si="6"/>
        <v>0</v>
      </c>
      <c r="P75" s="183">
        <f t="shared" si="6"/>
        <v>0</v>
      </c>
      <c r="Q75" s="183">
        <f t="shared" si="6"/>
        <v>0</v>
      </c>
      <c r="R75" s="183">
        <f t="shared" si="6"/>
        <v>0</v>
      </c>
      <c r="S75" s="183">
        <f t="shared" si="6"/>
        <v>0</v>
      </c>
      <c r="T75" s="118">
        <f t="shared" si="4"/>
        <v>0</v>
      </c>
      <c r="U75" s="119">
        <f t="shared" si="5"/>
        <v>387681.3</v>
      </c>
    </row>
    <row r="76" spans="2:21" ht="15.6">
      <c r="B76" s="174"/>
      <c r="C76" s="175" t="s">
        <v>116</v>
      </c>
      <c r="D76" s="176">
        <v>0</v>
      </c>
      <c r="E76" s="177">
        <f t="shared" si="6"/>
        <v>0</v>
      </c>
      <c r="F76" s="177">
        <v>0</v>
      </c>
      <c r="G76" s="177">
        <f t="shared" si="6"/>
        <v>0</v>
      </c>
      <c r="H76" s="177">
        <f t="shared" si="6"/>
        <v>0</v>
      </c>
      <c r="I76" s="176">
        <f t="shared" si="6"/>
        <v>0</v>
      </c>
      <c r="J76" s="176">
        <f t="shared" si="6"/>
        <v>0</v>
      </c>
      <c r="K76" s="176">
        <f t="shared" si="6"/>
        <v>0</v>
      </c>
      <c r="L76" s="176">
        <f t="shared" si="6"/>
        <v>0</v>
      </c>
      <c r="M76" s="176">
        <f t="shared" si="6"/>
        <v>0</v>
      </c>
      <c r="N76" s="176">
        <f t="shared" si="6"/>
        <v>0</v>
      </c>
      <c r="O76" s="176">
        <f t="shared" si="6"/>
        <v>0</v>
      </c>
      <c r="P76" s="192">
        <f t="shared" si="6"/>
        <v>0</v>
      </c>
      <c r="Q76" s="192">
        <f t="shared" si="6"/>
        <v>0</v>
      </c>
      <c r="R76" s="192">
        <f t="shared" si="6"/>
        <v>0</v>
      </c>
      <c r="S76" s="192">
        <f t="shared" si="6"/>
        <v>0</v>
      </c>
      <c r="T76" s="179">
        <f t="shared" si="4"/>
        <v>0</v>
      </c>
      <c r="U76" s="180">
        <f t="shared" si="5"/>
        <v>387681.3</v>
      </c>
    </row>
    <row r="77" spans="2:21" ht="15.6">
      <c r="B77" s="193">
        <v>49</v>
      </c>
      <c r="C77" s="194" t="s">
        <v>117</v>
      </c>
      <c r="D77" s="195">
        <v>0</v>
      </c>
      <c r="E77" s="196">
        <f t="shared" si="6"/>
        <v>0</v>
      </c>
      <c r="F77" s="196">
        <f t="shared" si="6"/>
        <v>0</v>
      </c>
      <c r="G77" s="196">
        <f t="shared" si="6"/>
        <v>0</v>
      </c>
      <c r="H77" s="196">
        <f t="shared" si="6"/>
        <v>0</v>
      </c>
      <c r="I77" s="195">
        <f t="shared" si="6"/>
        <v>0</v>
      </c>
      <c r="J77" s="195">
        <f t="shared" si="6"/>
        <v>0</v>
      </c>
      <c r="K77" s="195">
        <f t="shared" si="6"/>
        <v>0</v>
      </c>
      <c r="L77" s="195">
        <f t="shared" si="6"/>
        <v>0</v>
      </c>
      <c r="M77" s="195">
        <f t="shared" si="6"/>
        <v>0</v>
      </c>
      <c r="N77" s="195">
        <f t="shared" si="6"/>
        <v>0</v>
      </c>
      <c r="O77" s="195">
        <f t="shared" si="6"/>
        <v>0</v>
      </c>
      <c r="P77" s="197">
        <f t="shared" si="6"/>
        <v>0</v>
      </c>
      <c r="Q77" s="197">
        <f t="shared" si="6"/>
        <v>0</v>
      </c>
      <c r="R77" s="197">
        <f t="shared" si="6"/>
        <v>0</v>
      </c>
      <c r="S77" s="197">
        <f t="shared" si="6"/>
        <v>0</v>
      </c>
      <c r="T77" s="198">
        <f t="shared" si="4"/>
        <v>0</v>
      </c>
      <c r="U77" s="199">
        <f t="shared" si="5"/>
        <v>387681.3</v>
      </c>
    </row>
    <row r="78" spans="2:21" ht="15.6">
      <c r="B78" s="218"/>
      <c r="C78" s="194" t="s">
        <v>118</v>
      </c>
      <c r="D78" s="195">
        <v>0</v>
      </c>
      <c r="E78" s="196">
        <f t="shared" si="6"/>
        <v>0</v>
      </c>
      <c r="F78" s="196">
        <f t="shared" si="6"/>
        <v>0</v>
      </c>
      <c r="G78" s="196">
        <f t="shared" si="6"/>
        <v>0</v>
      </c>
      <c r="H78" s="196">
        <f t="shared" si="6"/>
        <v>0</v>
      </c>
      <c r="I78" s="195">
        <f t="shared" si="6"/>
        <v>0</v>
      </c>
      <c r="J78" s="195">
        <f t="shared" si="6"/>
        <v>0</v>
      </c>
      <c r="K78" s="195">
        <f t="shared" si="6"/>
        <v>0</v>
      </c>
      <c r="L78" s="195">
        <f t="shared" si="6"/>
        <v>0</v>
      </c>
      <c r="M78" s="195">
        <f t="shared" si="6"/>
        <v>0</v>
      </c>
      <c r="N78" s="195">
        <f t="shared" si="6"/>
        <v>0</v>
      </c>
      <c r="O78" s="195">
        <f t="shared" si="6"/>
        <v>0</v>
      </c>
      <c r="P78" s="197">
        <f t="shared" si="6"/>
        <v>0</v>
      </c>
      <c r="Q78" s="197">
        <f t="shared" si="6"/>
        <v>0</v>
      </c>
      <c r="R78" s="197">
        <f t="shared" si="6"/>
        <v>0</v>
      </c>
      <c r="S78" s="197">
        <f t="shared" si="6"/>
        <v>0</v>
      </c>
      <c r="T78" s="198">
        <f t="shared" si="4"/>
        <v>0</v>
      </c>
      <c r="U78" s="199">
        <f t="shared" si="5"/>
        <v>387681.3</v>
      </c>
    </row>
    <row r="79" spans="2:21" ht="15.6">
      <c r="B79" s="193"/>
      <c r="C79" s="194" t="s">
        <v>119</v>
      </c>
      <c r="D79" s="195">
        <v>0</v>
      </c>
      <c r="E79" s="196">
        <f t="shared" si="6"/>
        <v>0</v>
      </c>
      <c r="F79" s="196">
        <f t="shared" si="6"/>
        <v>0</v>
      </c>
      <c r="G79" s="196">
        <f t="shared" si="6"/>
        <v>0</v>
      </c>
      <c r="H79" s="196">
        <f t="shared" si="6"/>
        <v>0</v>
      </c>
      <c r="I79" s="195">
        <f t="shared" si="6"/>
        <v>0</v>
      </c>
      <c r="J79" s="195">
        <f t="shared" si="6"/>
        <v>0</v>
      </c>
      <c r="K79" s="195">
        <f t="shared" si="6"/>
        <v>0</v>
      </c>
      <c r="L79" s="195">
        <f t="shared" si="6"/>
        <v>0</v>
      </c>
      <c r="M79" s="195">
        <f t="shared" si="6"/>
        <v>0</v>
      </c>
      <c r="N79" s="195">
        <f t="shared" si="6"/>
        <v>0</v>
      </c>
      <c r="O79" s="195">
        <f t="shared" si="6"/>
        <v>0</v>
      </c>
      <c r="P79" s="197">
        <f t="shared" si="6"/>
        <v>0</v>
      </c>
      <c r="Q79" s="197">
        <f t="shared" si="6"/>
        <v>0</v>
      </c>
      <c r="R79" s="197">
        <f t="shared" si="6"/>
        <v>0</v>
      </c>
      <c r="S79" s="197">
        <f t="shared" si="6"/>
        <v>0</v>
      </c>
      <c r="T79" s="198">
        <f t="shared" si="4"/>
        <v>0</v>
      </c>
      <c r="U79" s="199">
        <f t="shared" si="5"/>
        <v>387681.3</v>
      </c>
    </row>
    <row r="80" spans="2:21" ht="16.2" thickBot="1">
      <c r="B80" s="200"/>
      <c r="C80" s="201" t="s">
        <v>120</v>
      </c>
      <c r="D80" s="202">
        <v>0</v>
      </c>
      <c r="E80" s="203">
        <f t="shared" si="6"/>
        <v>0</v>
      </c>
      <c r="F80" s="203">
        <f t="shared" si="6"/>
        <v>0</v>
      </c>
      <c r="G80" s="203">
        <f t="shared" si="6"/>
        <v>0</v>
      </c>
      <c r="H80" s="203">
        <f t="shared" si="6"/>
        <v>0</v>
      </c>
      <c r="I80" s="202">
        <f t="shared" si="6"/>
        <v>0</v>
      </c>
      <c r="J80" s="202">
        <f t="shared" si="6"/>
        <v>0</v>
      </c>
      <c r="K80" s="202">
        <f t="shared" si="6"/>
        <v>0</v>
      </c>
      <c r="L80" s="202">
        <f t="shared" si="6"/>
        <v>0</v>
      </c>
      <c r="M80" s="202">
        <f t="shared" si="6"/>
        <v>0</v>
      </c>
      <c r="N80" s="202">
        <f t="shared" si="6"/>
        <v>0</v>
      </c>
      <c r="O80" s="202">
        <f t="shared" si="6"/>
        <v>0</v>
      </c>
      <c r="P80" s="204">
        <f t="shared" si="6"/>
        <v>0</v>
      </c>
      <c r="Q80" s="204">
        <f t="shared" si="6"/>
        <v>0</v>
      </c>
      <c r="R80" s="204">
        <f t="shared" si="6"/>
        <v>0</v>
      </c>
      <c r="S80" s="204">
        <f t="shared" si="6"/>
        <v>0</v>
      </c>
      <c r="T80" s="205">
        <f t="shared" si="4"/>
        <v>0</v>
      </c>
      <c r="U80" s="206">
        <f t="shared" si="5"/>
        <v>387681.3</v>
      </c>
    </row>
    <row r="81" spans="2:21" ht="15.6">
      <c r="B81" s="193"/>
      <c r="C81" s="194" t="s">
        <v>121</v>
      </c>
      <c r="D81" s="207"/>
      <c r="E81" s="208">
        <f t="shared" si="6"/>
        <v>0</v>
      </c>
      <c r="F81" s="208">
        <f t="shared" si="6"/>
        <v>0</v>
      </c>
      <c r="G81" s="208">
        <f t="shared" si="6"/>
        <v>0</v>
      </c>
      <c r="H81" s="208">
        <f t="shared" si="6"/>
        <v>0</v>
      </c>
      <c r="I81" s="207">
        <f t="shared" si="6"/>
        <v>0</v>
      </c>
      <c r="J81" s="207">
        <f t="shared" si="6"/>
        <v>0</v>
      </c>
      <c r="K81" s="207">
        <f t="shared" si="6"/>
        <v>0</v>
      </c>
      <c r="L81" s="207">
        <f t="shared" si="6"/>
        <v>0</v>
      </c>
      <c r="M81" s="207">
        <f t="shared" si="6"/>
        <v>0</v>
      </c>
      <c r="N81" s="207">
        <f t="shared" si="6"/>
        <v>0</v>
      </c>
      <c r="O81" s="207">
        <f t="shared" si="6"/>
        <v>0</v>
      </c>
      <c r="P81" s="209">
        <f t="shared" si="6"/>
        <v>0</v>
      </c>
      <c r="Q81" s="209">
        <f t="shared" si="6"/>
        <v>0</v>
      </c>
      <c r="R81" s="209">
        <f t="shared" si="6"/>
        <v>0</v>
      </c>
      <c r="S81" s="209">
        <f t="shared" si="6"/>
        <v>0</v>
      </c>
      <c r="T81" s="210">
        <f t="shared" si="4"/>
        <v>0</v>
      </c>
      <c r="U81" s="211">
        <f t="shared" si="5"/>
        <v>387681.3</v>
      </c>
    </row>
    <row r="82" spans="2:21" ht="15.6">
      <c r="B82" s="193"/>
      <c r="C82" s="194" t="s">
        <v>122</v>
      </c>
      <c r="D82" s="195"/>
      <c r="E82" s="196">
        <f t="shared" si="6"/>
        <v>0</v>
      </c>
      <c r="F82" s="196">
        <f t="shared" si="6"/>
        <v>0</v>
      </c>
      <c r="G82" s="196">
        <f t="shared" si="6"/>
        <v>0</v>
      </c>
      <c r="H82" s="196">
        <f t="shared" si="6"/>
        <v>0</v>
      </c>
      <c r="I82" s="195">
        <f t="shared" si="6"/>
        <v>0</v>
      </c>
      <c r="J82" s="195">
        <f t="shared" si="6"/>
        <v>0</v>
      </c>
      <c r="K82" s="195">
        <f t="shared" si="6"/>
        <v>0</v>
      </c>
      <c r="L82" s="195">
        <f t="shared" si="6"/>
        <v>0</v>
      </c>
      <c r="M82" s="195">
        <f t="shared" si="6"/>
        <v>0</v>
      </c>
      <c r="N82" s="195">
        <f t="shared" si="6"/>
        <v>0</v>
      </c>
      <c r="O82" s="195">
        <f t="shared" si="6"/>
        <v>0</v>
      </c>
      <c r="P82" s="197">
        <f t="shared" si="6"/>
        <v>0</v>
      </c>
      <c r="Q82" s="197">
        <f t="shared" si="6"/>
        <v>0</v>
      </c>
      <c r="R82" s="197">
        <f t="shared" si="6"/>
        <v>0</v>
      </c>
      <c r="S82" s="197">
        <f t="shared" si="6"/>
        <v>0</v>
      </c>
      <c r="T82" s="198">
        <f t="shared" si="4"/>
        <v>0</v>
      </c>
      <c r="U82" s="199">
        <f t="shared" si="5"/>
        <v>387681.3</v>
      </c>
    </row>
    <row r="83" spans="2:21" ht="15.6">
      <c r="B83" s="193"/>
      <c r="C83" s="194" t="s">
        <v>123</v>
      </c>
      <c r="D83" s="195"/>
      <c r="E83" s="196">
        <f t="shared" si="6"/>
        <v>0</v>
      </c>
      <c r="F83" s="196">
        <f t="shared" si="6"/>
        <v>0</v>
      </c>
      <c r="G83" s="196">
        <f t="shared" si="6"/>
        <v>0</v>
      </c>
      <c r="H83" s="196">
        <f t="shared" si="6"/>
        <v>0</v>
      </c>
      <c r="I83" s="195">
        <f t="shared" si="6"/>
        <v>0</v>
      </c>
      <c r="J83" s="195">
        <f t="shared" si="6"/>
        <v>0</v>
      </c>
      <c r="K83" s="195">
        <f t="shared" si="6"/>
        <v>0</v>
      </c>
      <c r="L83" s="195">
        <f t="shared" si="6"/>
        <v>0</v>
      </c>
      <c r="M83" s="195">
        <f t="shared" si="6"/>
        <v>0</v>
      </c>
      <c r="N83" s="195">
        <f t="shared" si="6"/>
        <v>0</v>
      </c>
      <c r="O83" s="195">
        <f t="shared" si="6"/>
        <v>0</v>
      </c>
      <c r="P83" s="197">
        <f t="shared" si="6"/>
        <v>0</v>
      </c>
      <c r="Q83" s="197">
        <f t="shared" si="6"/>
        <v>0</v>
      </c>
      <c r="R83" s="197">
        <f t="shared" si="6"/>
        <v>0</v>
      </c>
      <c r="S83" s="197">
        <f t="shared" si="6"/>
        <v>0</v>
      </c>
      <c r="T83" s="198">
        <f t="shared" si="4"/>
        <v>0</v>
      </c>
      <c r="U83" s="199">
        <f t="shared" si="5"/>
        <v>387681.3</v>
      </c>
    </row>
    <row r="84" spans="2:21" ht="15.6">
      <c r="B84" s="193">
        <v>50</v>
      </c>
      <c r="C84" s="194" t="s">
        <v>124</v>
      </c>
      <c r="D84" s="195"/>
      <c r="E84" s="196">
        <f t="shared" si="6"/>
        <v>0</v>
      </c>
      <c r="F84" s="196">
        <f t="shared" si="6"/>
        <v>0</v>
      </c>
      <c r="G84" s="196">
        <f t="shared" si="6"/>
        <v>0</v>
      </c>
      <c r="H84" s="196">
        <f t="shared" si="6"/>
        <v>0</v>
      </c>
      <c r="I84" s="195">
        <f t="shared" si="6"/>
        <v>0</v>
      </c>
      <c r="J84" s="195">
        <f t="shared" si="6"/>
        <v>0</v>
      </c>
      <c r="K84" s="195">
        <f t="shared" si="6"/>
        <v>0</v>
      </c>
      <c r="L84" s="195">
        <f t="shared" si="6"/>
        <v>0</v>
      </c>
      <c r="M84" s="195">
        <f t="shared" si="6"/>
        <v>0</v>
      </c>
      <c r="N84" s="195">
        <f t="shared" si="6"/>
        <v>0</v>
      </c>
      <c r="O84" s="195">
        <f t="shared" si="6"/>
        <v>0</v>
      </c>
      <c r="P84" s="197">
        <f t="shared" si="6"/>
        <v>0</v>
      </c>
      <c r="Q84" s="197">
        <f t="shared" si="6"/>
        <v>0</v>
      </c>
      <c r="R84" s="197">
        <f t="shared" si="6"/>
        <v>0</v>
      </c>
      <c r="S84" s="197">
        <f t="shared" si="6"/>
        <v>0</v>
      </c>
      <c r="T84" s="198">
        <f t="shared" si="4"/>
        <v>0</v>
      </c>
      <c r="U84" s="199">
        <f t="shared" si="5"/>
        <v>387681.3</v>
      </c>
    </row>
    <row r="85" spans="2:21" ht="15.6">
      <c r="B85" s="218"/>
      <c r="C85" s="194" t="s">
        <v>125</v>
      </c>
      <c r="D85" s="195"/>
      <c r="E85" s="196">
        <f t="shared" si="6"/>
        <v>0</v>
      </c>
      <c r="F85" s="196">
        <f t="shared" si="6"/>
        <v>0</v>
      </c>
      <c r="G85" s="196">
        <f t="shared" si="6"/>
        <v>0</v>
      </c>
      <c r="H85" s="196">
        <f t="shared" si="6"/>
        <v>0</v>
      </c>
      <c r="I85" s="195">
        <f t="shared" si="6"/>
        <v>0</v>
      </c>
      <c r="J85" s="195">
        <f t="shared" si="6"/>
        <v>0</v>
      </c>
      <c r="K85" s="195">
        <f t="shared" si="6"/>
        <v>0</v>
      </c>
      <c r="L85" s="195">
        <f t="shared" si="6"/>
        <v>0</v>
      </c>
      <c r="M85" s="195">
        <f t="shared" si="6"/>
        <v>0</v>
      </c>
      <c r="N85" s="195">
        <f t="shared" si="6"/>
        <v>0</v>
      </c>
      <c r="O85" s="195">
        <f t="shared" si="6"/>
        <v>0</v>
      </c>
      <c r="P85" s="197">
        <f t="shared" si="6"/>
        <v>0</v>
      </c>
      <c r="Q85" s="197">
        <f t="shared" si="6"/>
        <v>0</v>
      </c>
      <c r="R85" s="197">
        <f t="shared" si="6"/>
        <v>0</v>
      </c>
      <c r="S85" s="197">
        <f t="shared" si="6"/>
        <v>0</v>
      </c>
      <c r="T85" s="198">
        <f t="shared" si="4"/>
        <v>0</v>
      </c>
      <c r="U85" s="199">
        <f t="shared" si="5"/>
        <v>387681.3</v>
      </c>
    </row>
    <row r="86" spans="2:21" ht="15.6">
      <c r="B86" s="193"/>
      <c r="C86" s="194" t="s">
        <v>126</v>
      </c>
      <c r="D86" s="195">
        <f t="shared" ref="D86:S87" si="7">D195*D$110</f>
        <v>0</v>
      </c>
      <c r="E86" s="196">
        <f t="shared" si="7"/>
        <v>0</v>
      </c>
      <c r="F86" s="196">
        <f t="shared" si="7"/>
        <v>0</v>
      </c>
      <c r="G86" s="196">
        <f t="shared" si="7"/>
        <v>0</v>
      </c>
      <c r="H86" s="196">
        <f t="shared" si="7"/>
        <v>0</v>
      </c>
      <c r="I86" s="195">
        <f t="shared" si="7"/>
        <v>0</v>
      </c>
      <c r="J86" s="195">
        <f t="shared" si="7"/>
        <v>0</v>
      </c>
      <c r="K86" s="195">
        <f t="shared" si="7"/>
        <v>0</v>
      </c>
      <c r="L86" s="195">
        <f t="shared" si="7"/>
        <v>0</v>
      </c>
      <c r="M86" s="195">
        <f t="shared" si="7"/>
        <v>0</v>
      </c>
      <c r="N86" s="195">
        <f t="shared" si="7"/>
        <v>0</v>
      </c>
      <c r="O86" s="195">
        <f t="shared" si="7"/>
        <v>0</v>
      </c>
      <c r="P86" s="197">
        <f t="shared" si="7"/>
        <v>0</v>
      </c>
      <c r="Q86" s="197">
        <f t="shared" si="7"/>
        <v>0</v>
      </c>
      <c r="R86" s="197">
        <f t="shared" si="7"/>
        <v>0</v>
      </c>
      <c r="S86" s="197">
        <f t="shared" si="7"/>
        <v>0</v>
      </c>
      <c r="T86" s="198">
        <f t="shared" si="4"/>
        <v>0</v>
      </c>
      <c r="U86" s="199"/>
    </row>
    <row r="87" spans="2:21" ht="16.2" thickBot="1">
      <c r="B87" s="193"/>
      <c r="C87" s="194" t="s">
        <v>127</v>
      </c>
      <c r="D87" s="202">
        <f t="shared" si="7"/>
        <v>0</v>
      </c>
      <c r="E87" s="203">
        <f t="shared" si="7"/>
        <v>0</v>
      </c>
      <c r="F87" s="203">
        <f t="shared" si="7"/>
        <v>0</v>
      </c>
      <c r="G87" s="203">
        <f t="shared" si="7"/>
        <v>0</v>
      </c>
      <c r="H87" s="203">
        <f t="shared" si="7"/>
        <v>0</v>
      </c>
      <c r="I87" s="202">
        <f t="shared" si="7"/>
        <v>0</v>
      </c>
      <c r="J87" s="202">
        <f t="shared" si="7"/>
        <v>0</v>
      </c>
      <c r="K87" s="202">
        <f t="shared" si="7"/>
        <v>0</v>
      </c>
      <c r="L87" s="202">
        <f t="shared" si="7"/>
        <v>0</v>
      </c>
      <c r="M87" s="202">
        <f t="shared" si="7"/>
        <v>0</v>
      </c>
      <c r="N87" s="202">
        <f t="shared" si="7"/>
        <v>0</v>
      </c>
      <c r="O87" s="202">
        <f t="shared" si="7"/>
        <v>0</v>
      </c>
      <c r="P87" s="204">
        <f t="shared" si="7"/>
        <v>0</v>
      </c>
      <c r="Q87" s="204">
        <f t="shared" si="7"/>
        <v>0</v>
      </c>
      <c r="R87" s="204">
        <f t="shared" si="7"/>
        <v>0</v>
      </c>
      <c r="S87" s="204">
        <f t="shared" si="7"/>
        <v>0</v>
      </c>
      <c r="T87" s="205">
        <f t="shared" si="4"/>
        <v>0</v>
      </c>
      <c r="U87" s="206"/>
    </row>
    <row r="88" spans="2:21" ht="15.6">
      <c r="B88" s="193"/>
      <c r="C88" s="194" t="s">
        <v>128</v>
      </c>
      <c r="D88" s="195">
        <f t="shared" ref="D88:P91" si="8">+D197*D$110</f>
        <v>0</v>
      </c>
      <c r="E88" s="196">
        <f t="shared" si="8"/>
        <v>0</v>
      </c>
      <c r="F88" s="196">
        <f t="shared" si="8"/>
        <v>0</v>
      </c>
      <c r="G88" s="196">
        <f t="shared" si="8"/>
        <v>0</v>
      </c>
      <c r="H88" s="196">
        <f t="shared" si="8"/>
        <v>0</v>
      </c>
      <c r="I88" s="195">
        <f t="shared" si="8"/>
        <v>0</v>
      </c>
      <c r="J88" s="195">
        <f t="shared" si="8"/>
        <v>0</v>
      </c>
      <c r="K88" s="195">
        <f t="shared" si="8"/>
        <v>0</v>
      </c>
      <c r="L88" s="195">
        <f t="shared" si="8"/>
        <v>0</v>
      </c>
      <c r="M88" s="195">
        <f t="shared" si="8"/>
        <v>0</v>
      </c>
      <c r="N88" s="195">
        <f t="shared" si="8"/>
        <v>0</v>
      </c>
      <c r="O88" s="195">
        <f t="shared" si="8"/>
        <v>0</v>
      </c>
      <c r="P88" s="197">
        <f t="shared" si="8"/>
        <v>0</v>
      </c>
      <c r="Q88" s="197"/>
      <c r="R88" s="197"/>
      <c r="S88" s="197"/>
      <c r="T88" s="198">
        <f t="shared" si="4"/>
        <v>0</v>
      </c>
      <c r="U88" s="199"/>
    </row>
    <row r="89" spans="2:21" ht="16.2" thickBot="1">
      <c r="B89" s="193"/>
      <c r="C89" s="194" t="s">
        <v>129</v>
      </c>
      <c r="D89" s="202">
        <f t="shared" si="8"/>
        <v>0</v>
      </c>
      <c r="E89" s="203">
        <f t="shared" si="8"/>
        <v>0</v>
      </c>
      <c r="F89" s="203">
        <f t="shared" si="8"/>
        <v>0</v>
      </c>
      <c r="G89" s="203">
        <f t="shared" si="8"/>
        <v>0</v>
      </c>
      <c r="H89" s="203">
        <f t="shared" si="8"/>
        <v>0</v>
      </c>
      <c r="I89" s="202">
        <f t="shared" si="8"/>
        <v>0</v>
      </c>
      <c r="J89" s="202">
        <f t="shared" si="8"/>
        <v>0</v>
      </c>
      <c r="K89" s="202">
        <f t="shared" si="8"/>
        <v>0</v>
      </c>
      <c r="L89" s="202">
        <f t="shared" si="8"/>
        <v>0</v>
      </c>
      <c r="M89" s="202">
        <f t="shared" si="8"/>
        <v>0</v>
      </c>
      <c r="N89" s="202">
        <f t="shared" si="8"/>
        <v>0</v>
      </c>
      <c r="O89" s="202">
        <f t="shared" si="8"/>
        <v>0</v>
      </c>
      <c r="P89" s="204">
        <f t="shared" si="8"/>
        <v>0</v>
      </c>
      <c r="Q89" s="204"/>
      <c r="R89" s="204"/>
      <c r="S89" s="204"/>
      <c r="T89" s="205">
        <f t="shared" si="4"/>
        <v>0</v>
      </c>
      <c r="U89" s="206"/>
    </row>
    <row r="90" spans="2:21" ht="15.6">
      <c r="B90" s="193"/>
      <c r="C90" s="194" t="s">
        <v>130</v>
      </c>
      <c r="D90" s="212">
        <f t="shared" si="8"/>
        <v>0</v>
      </c>
      <c r="E90" s="212">
        <f t="shared" si="8"/>
        <v>0</v>
      </c>
      <c r="F90" s="212">
        <f t="shared" si="8"/>
        <v>0</v>
      </c>
      <c r="G90" s="212">
        <f t="shared" si="8"/>
        <v>0</v>
      </c>
      <c r="H90" s="212">
        <f t="shared" si="8"/>
        <v>0</v>
      </c>
      <c r="I90" s="212">
        <f t="shared" si="8"/>
        <v>0</v>
      </c>
      <c r="J90" s="212">
        <f t="shared" si="8"/>
        <v>0</v>
      </c>
      <c r="K90" s="212">
        <f t="shared" si="8"/>
        <v>0</v>
      </c>
      <c r="L90" s="212">
        <f t="shared" si="8"/>
        <v>0</v>
      </c>
      <c r="M90" s="212">
        <f t="shared" si="8"/>
        <v>0</v>
      </c>
      <c r="N90" s="212">
        <f t="shared" si="8"/>
        <v>0</v>
      </c>
      <c r="O90" s="212">
        <f t="shared" si="8"/>
        <v>0</v>
      </c>
      <c r="P90" s="212">
        <f t="shared" si="8"/>
        <v>0</v>
      </c>
      <c r="Q90" s="212"/>
      <c r="R90" s="212"/>
      <c r="S90" s="212"/>
      <c r="T90" s="213">
        <f t="shared" si="4"/>
        <v>0</v>
      </c>
      <c r="U90" s="213">
        <f t="shared" si="5"/>
        <v>0</v>
      </c>
    </row>
    <row r="91" spans="2:21" ht="16.2" thickBot="1">
      <c r="B91" s="128" t="str">
        <f t="shared" ref="B70:B92" si="9">IF($A91=0," ",$A91)</f>
        <v xml:space="preserve"> </v>
      </c>
      <c r="C91" s="129" t="str">
        <f t="shared" ref="C84:C92" si="10">+$B91</f>
        <v xml:space="preserve"> </v>
      </c>
      <c r="D91" s="214">
        <f t="shared" si="8"/>
        <v>0</v>
      </c>
      <c r="E91" s="129">
        <f t="shared" si="8"/>
        <v>0</v>
      </c>
      <c r="F91" s="129">
        <f t="shared" si="8"/>
        <v>0</v>
      </c>
      <c r="G91" s="129">
        <f t="shared" si="8"/>
        <v>0</v>
      </c>
      <c r="H91" s="129">
        <f t="shared" si="8"/>
        <v>0</v>
      </c>
      <c r="I91" s="129">
        <f t="shared" si="8"/>
        <v>0</v>
      </c>
      <c r="J91" s="129">
        <f t="shared" si="8"/>
        <v>0</v>
      </c>
      <c r="K91" s="129">
        <f t="shared" si="8"/>
        <v>0</v>
      </c>
      <c r="L91" s="129">
        <f t="shared" si="8"/>
        <v>0</v>
      </c>
      <c r="M91" s="129">
        <f t="shared" si="8"/>
        <v>0</v>
      </c>
      <c r="N91" s="129">
        <f t="shared" si="8"/>
        <v>0</v>
      </c>
      <c r="O91" s="129">
        <f t="shared" si="8"/>
        <v>0</v>
      </c>
      <c r="P91" s="129">
        <f t="shared" si="8"/>
        <v>0</v>
      </c>
      <c r="Q91" s="129"/>
      <c r="R91" s="129"/>
      <c r="S91" s="129"/>
      <c r="T91" s="130">
        <f t="shared" ref="T91" si="11">SUM(D91:P91)</f>
        <v>0</v>
      </c>
      <c r="U91" s="131">
        <f t="shared" si="5"/>
        <v>0</v>
      </c>
    </row>
    <row r="92" spans="2:21" ht="15.6">
      <c r="B92" s="40" t="str">
        <f t="shared" si="9"/>
        <v xml:space="preserve"> </v>
      </c>
      <c r="C92" s="41" t="str">
        <f t="shared" si="10"/>
        <v xml:space="preserve"> </v>
      </c>
      <c r="D92" s="42">
        <f>+D4</f>
        <v>7</v>
      </c>
      <c r="E92" s="42">
        <f t="shared" ref="E92:S92" si="12">+E4</f>
        <v>8</v>
      </c>
      <c r="F92" s="42">
        <f t="shared" si="12"/>
        <v>9</v>
      </c>
      <c r="G92" s="42">
        <f t="shared" si="12"/>
        <v>10</v>
      </c>
      <c r="H92" s="42">
        <f t="shared" si="12"/>
        <v>11</v>
      </c>
      <c r="I92" s="42">
        <f t="shared" si="12"/>
        <v>12</v>
      </c>
      <c r="J92" s="42">
        <f t="shared" si="12"/>
        <v>13</v>
      </c>
      <c r="K92" s="42">
        <f t="shared" si="12"/>
        <v>14</v>
      </c>
      <c r="L92" s="42">
        <f t="shared" si="12"/>
        <v>15</v>
      </c>
      <c r="M92" s="42">
        <f t="shared" si="12"/>
        <v>16</v>
      </c>
      <c r="N92" s="42">
        <f t="shared" si="12"/>
        <v>17</v>
      </c>
      <c r="O92" s="42">
        <f t="shared" si="12"/>
        <v>18</v>
      </c>
      <c r="P92" s="42">
        <f t="shared" si="12"/>
        <v>19</v>
      </c>
      <c r="Q92" s="42">
        <f t="shared" si="12"/>
        <v>22</v>
      </c>
      <c r="R92" s="42">
        <f t="shared" si="12"/>
        <v>23</v>
      </c>
      <c r="S92" s="42">
        <f t="shared" si="12"/>
        <v>34</v>
      </c>
      <c r="T92" s="43" t="s">
        <v>2</v>
      </c>
      <c r="U92" s="43" t="s">
        <v>3</v>
      </c>
    </row>
    <row r="93" spans="2:21" ht="15.6">
      <c r="B93" s="44"/>
      <c r="C93" s="45" t="s">
        <v>4</v>
      </c>
      <c r="D93" s="73">
        <f t="shared" ref="D93:E93" si="13">SUM(D5:D92)</f>
        <v>103987</v>
      </c>
      <c r="E93" s="45">
        <f t="shared" si="13"/>
        <v>2940</v>
      </c>
      <c r="F93" s="73">
        <f>SUM(F5:F89)</f>
        <v>19927.900000000001</v>
      </c>
      <c r="G93" s="73">
        <f t="shared" ref="G93:S93" si="14">SUM(G5:G89)</f>
        <v>24462.7</v>
      </c>
      <c r="H93" s="73">
        <f t="shared" si="14"/>
        <v>9080</v>
      </c>
      <c r="I93" s="73">
        <f t="shared" si="14"/>
        <v>32380</v>
      </c>
      <c r="J93" s="73">
        <f t="shared" si="14"/>
        <v>20260</v>
      </c>
      <c r="K93" s="73">
        <f t="shared" si="14"/>
        <v>18268.5</v>
      </c>
      <c r="L93" s="73">
        <f t="shared" si="14"/>
        <v>46460</v>
      </c>
      <c r="M93" s="73">
        <f t="shared" si="14"/>
        <v>33051.9</v>
      </c>
      <c r="N93" s="73">
        <f t="shared" si="14"/>
        <v>30640</v>
      </c>
      <c r="O93" s="73">
        <f t="shared" si="14"/>
        <v>19022.400000000001</v>
      </c>
      <c r="P93" s="73">
        <f t="shared" si="14"/>
        <v>25664.6</v>
      </c>
      <c r="Q93" s="73">
        <f t="shared" si="14"/>
        <v>300</v>
      </c>
      <c r="R93" s="73">
        <f t="shared" si="14"/>
        <v>1583.8</v>
      </c>
      <c r="S93" s="73">
        <f t="shared" si="14"/>
        <v>180</v>
      </c>
      <c r="T93" s="47">
        <f>SUM(D93:S93)</f>
        <v>388208.8</v>
      </c>
      <c r="U93" s="48"/>
    </row>
    <row r="94" spans="2:21" ht="15.6">
      <c r="B94" s="49"/>
      <c r="C94" s="50" t="s">
        <v>5</v>
      </c>
      <c r="D94" s="50">
        <v>2132</v>
      </c>
      <c r="E94" s="50">
        <v>514</v>
      </c>
      <c r="F94" s="50">
        <v>383</v>
      </c>
      <c r="G94" s="50">
        <v>1024</v>
      </c>
      <c r="H94" s="50">
        <v>434</v>
      </c>
      <c r="I94" s="50">
        <v>1064</v>
      </c>
      <c r="J94" s="50">
        <v>720</v>
      </c>
      <c r="K94" s="50">
        <v>1064</v>
      </c>
      <c r="L94" s="50">
        <v>944</v>
      </c>
      <c r="M94" s="50">
        <v>1064</v>
      </c>
      <c r="N94" s="50">
        <v>1168</v>
      </c>
      <c r="O94" s="50">
        <v>770</v>
      </c>
      <c r="P94" s="50">
        <v>716</v>
      </c>
      <c r="Q94" s="50">
        <v>210</v>
      </c>
      <c r="R94" s="50">
        <v>310</v>
      </c>
      <c r="S94" s="50">
        <v>210</v>
      </c>
      <c r="T94" s="46">
        <f>SUM(D94:S94)</f>
        <v>12727</v>
      </c>
      <c r="U94" s="51"/>
    </row>
    <row r="95" spans="2:21" ht="15.6">
      <c r="B95" s="52"/>
      <c r="C95" s="53" t="s">
        <v>6</v>
      </c>
      <c r="D95" s="74">
        <f t="shared" ref="D95:S95" si="15">D93/D94</f>
        <v>48.774390243902438</v>
      </c>
      <c r="E95" s="74">
        <f t="shared" si="15"/>
        <v>5.7198443579766538</v>
      </c>
      <c r="F95" s="74">
        <f t="shared" si="15"/>
        <v>52.031070496083558</v>
      </c>
      <c r="G95" s="74">
        <f t="shared" si="15"/>
        <v>23.889355468750001</v>
      </c>
      <c r="H95" s="74">
        <f t="shared" si="15"/>
        <v>20.921658986175114</v>
      </c>
      <c r="I95" s="74">
        <f t="shared" si="15"/>
        <v>30.43233082706767</v>
      </c>
      <c r="J95" s="74">
        <f t="shared" si="15"/>
        <v>28.138888888888889</v>
      </c>
      <c r="K95" s="74">
        <f t="shared" si="15"/>
        <v>17.169642857142858</v>
      </c>
      <c r="L95" s="74">
        <f t="shared" si="15"/>
        <v>49.216101694915253</v>
      </c>
      <c r="M95" s="74">
        <f t="shared" si="15"/>
        <v>31.063815789473686</v>
      </c>
      <c r="N95" s="74">
        <f t="shared" si="15"/>
        <v>26.232876712328768</v>
      </c>
      <c r="O95" s="74">
        <f t="shared" si="15"/>
        <v>24.704415584415585</v>
      </c>
      <c r="P95" s="74">
        <f t="shared" si="15"/>
        <v>35.844413407821229</v>
      </c>
      <c r="Q95" s="74">
        <f t="shared" si="15"/>
        <v>1.4285714285714286</v>
      </c>
      <c r="R95" s="74">
        <f t="shared" si="15"/>
        <v>5.1090322580645156</v>
      </c>
      <c r="S95" s="74">
        <f t="shared" si="15"/>
        <v>0.8571428571428571</v>
      </c>
      <c r="T95" s="56">
        <f>T93/T94</f>
        <v>30.502773630863519</v>
      </c>
      <c r="U95" s="5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5E7F-26CC-43AD-8BEC-C5A44FD02C94}">
  <dimension ref="B3:U95"/>
  <sheetViews>
    <sheetView workbookViewId="0">
      <selection activeCell="B5" sqref="B5:C90"/>
    </sheetView>
  </sheetViews>
  <sheetFormatPr defaultRowHeight="14.4"/>
  <sheetData>
    <row r="3" spans="2:21" ht="16.2" thickBot="1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3"/>
      <c r="U3" s="4"/>
    </row>
    <row r="4" spans="2:21" ht="16.2" thickBot="1">
      <c r="B4" s="77"/>
      <c r="C4" s="64">
        <v>2021</v>
      </c>
      <c r="D4" s="8">
        <v>7</v>
      </c>
      <c r="E4" s="8">
        <v>8</v>
      </c>
      <c r="F4" s="8">
        <v>9</v>
      </c>
      <c r="G4" s="8">
        <v>10</v>
      </c>
      <c r="H4" s="8">
        <v>11</v>
      </c>
      <c r="I4" s="8">
        <v>12</v>
      </c>
      <c r="J4" s="8">
        <v>13</v>
      </c>
      <c r="K4" s="8">
        <v>14</v>
      </c>
      <c r="L4" s="8">
        <v>15</v>
      </c>
      <c r="M4" s="8">
        <v>16</v>
      </c>
      <c r="N4" s="8">
        <v>17</v>
      </c>
      <c r="O4" s="8">
        <v>18</v>
      </c>
      <c r="P4" s="8">
        <v>19</v>
      </c>
      <c r="Q4" s="8">
        <v>22</v>
      </c>
      <c r="R4" s="8">
        <v>23</v>
      </c>
      <c r="S4" s="8">
        <v>34</v>
      </c>
      <c r="T4" s="8" t="s">
        <v>2</v>
      </c>
      <c r="U4" s="9" t="s">
        <v>3</v>
      </c>
    </row>
    <row r="5" spans="2:21" ht="15.6">
      <c r="B5" s="242">
        <v>38</v>
      </c>
      <c r="C5" s="222" t="s">
        <v>136</v>
      </c>
      <c r="D5" s="221"/>
      <c r="E5" s="221"/>
      <c r="F5" s="221"/>
      <c r="G5" s="221"/>
      <c r="H5" s="221"/>
      <c r="I5" s="221"/>
      <c r="J5" s="222"/>
      <c r="K5" s="221">
        <v>4.3</v>
      </c>
      <c r="L5" s="222"/>
      <c r="M5" s="221">
        <v>4.9000000000000004</v>
      </c>
      <c r="N5" s="222"/>
      <c r="O5" s="221"/>
      <c r="P5" s="221"/>
      <c r="Q5" s="222"/>
      <c r="R5" s="221"/>
      <c r="S5" s="221"/>
      <c r="T5" s="223">
        <f t="shared" ref="T5:T68" si="0">SUM(D5:S5)</f>
        <v>9.1999999999999993</v>
      </c>
      <c r="U5" s="224">
        <f>T5</f>
        <v>9.1999999999999993</v>
      </c>
    </row>
    <row r="6" spans="2:21" ht="16.2" thickBot="1">
      <c r="B6" s="240">
        <v>39</v>
      </c>
      <c r="C6" s="220" t="s">
        <v>137</v>
      </c>
      <c r="D6" s="225"/>
      <c r="E6" s="225"/>
      <c r="F6" s="225"/>
      <c r="G6" s="225"/>
      <c r="H6" s="225"/>
      <c r="I6" s="225"/>
      <c r="J6" s="220"/>
      <c r="K6" s="225"/>
      <c r="L6" s="220"/>
      <c r="M6" s="225"/>
      <c r="N6" s="220"/>
      <c r="O6" s="225"/>
      <c r="P6" s="225"/>
      <c r="Q6" s="220"/>
      <c r="R6" s="225"/>
      <c r="S6" s="225"/>
      <c r="T6" s="226">
        <f t="shared" si="0"/>
        <v>0</v>
      </c>
      <c r="U6" s="227">
        <f t="shared" ref="U6" si="1">+T6+U5</f>
        <v>9.1999999999999993</v>
      </c>
    </row>
    <row r="7" spans="2:21" ht="15.6">
      <c r="B7" s="242"/>
      <c r="C7" s="222" t="s">
        <v>138</v>
      </c>
      <c r="D7" s="221"/>
      <c r="E7" s="221"/>
      <c r="F7" s="221"/>
      <c r="G7" s="221"/>
      <c r="H7" s="221"/>
      <c r="I7" s="221"/>
      <c r="J7" s="222"/>
      <c r="K7" s="221">
        <f>20.7+4.6</f>
        <v>25.299999999999997</v>
      </c>
      <c r="L7" s="222"/>
      <c r="M7" s="221">
        <f>20.6+10.6</f>
        <v>31.200000000000003</v>
      </c>
      <c r="N7" s="222"/>
      <c r="O7" s="221"/>
      <c r="P7" s="221"/>
      <c r="Q7" s="222"/>
      <c r="R7" s="221"/>
      <c r="S7" s="221"/>
      <c r="T7" s="228">
        <f t="shared" si="0"/>
        <v>56.5</v>
      </c>
      <c r="U7" s="224">
        <f>+T7+U6</f>
        <v>65.7</v>
      </c>
    </row>
    <row r="8" spans="2:21" ht="15.6">
      <c r="B8" s="240"/>
      <c r="C8" s="220" t="s">
        <v>139</v>
      </c>
      <c r="D8" s="225"/>
      <c r="E8" s="225"/>
      <c r="F8" s="225"/>
      <c r="G8" s="225"/>
      <c r="H8" s="225"/>
      <c r="I8" s="225"/>
      <c r="J8" s="220"/>
      <c r="K8" s="225"/>
      <c r="L8" s="220"/>
      <c r="M8" s="225"/>
      <c r="N8" s="220"/>
      <c r="O8" s="225"/>
      <c r="P8" s="225"/>
      <c r="Q8" s="220"/>
      <c r="R8" s="225"/>
      <c r="S8" s="225"/>
      <c r="T8" s="226">
        <f t="shared" si="0"/>
        <v>0</v>
      </c>
      <c r="U8" s="227">
        <f t="shared" ref="U8:U71" si="2">+T8+U7</f>
        <v>65.7</v>
      </c>
    </row>
    <row r="9" spans="2:21" ht="15.6">
      <c r="B9" s="240"/>
      <c r="C9" s="220" t="s">
        <v>140</v>
      </c>
      <c r="D9" s="225"/>
      <c r="E9" s="225"/>
      <c r="F9" s="225"/>
      <c r="G9" s="225"/>
      <c r="H9" s="225"/>
      <c r="I9" s="225"/>
      <c r="J9" s="220"/>
      <c r="K9" s="225">
        <f>19.4+2.3</f>
        <v>21.7</v>
      </c>
      <c r="L9" s="220"/>
      <c r="M9" s="225">
        <f>20.7+19+7.5</f>
        <v>47.2</v>
      </c>
      <c r="N9" s="220"/>
      <c r="O9" s="225"/>
      <c r="P9" s="225"/>
      <c r="Q9" s="220"/>
      <c r="R9" s="225"/>
      <c r="S9" s="225"/>
      <c r="T9" s="226">
        <f t="shared" si="0"/>
        <v>68.900000000000006</v>
      </c>
      <c r="U9" s="227">
        <f t="shared" si="2"/>
        <v>134.60000000000002</v>
      </c>
    </row>
    <row r="10" spans="2:21" ht="15.6">
      <c r="B10" s="240">
        <v>40</v>
      </c>
      <c r="C10" s="220" t="s">
        <v>133</v>
      </c>
      <c r="D10" s="225"/>
      <c r="E10" s="225"/>
      <c r="F10" s="225"/>
      <c r="G10" s="225"/>
      <c r="H10" s="225"/>
      <c r="I10" s="225"/>
      <c r="J10" s="220"/>
      <c r="K10" s="225"/>
      <c r="L10" s="220"/>
      <c r="M10" s="225"/>
      <c r="N10" s="220"/>
      <c r="O10" s="225"/>
      <c r="P10" s="225"/>
      <c r="Q10" s="220"/>
      <c r="R10" s="225"/>
      <c r="S10" s="225"/>
      <c r="T10" s="226">
        <f t="shared" si="0"/>
        <v>0</v>
      </c>
      <c r="U10" s="227">
        <f t="shared" si="2"/>
        <v>134.60000000000002</v>
      </c>
    </row>
    <row r="11" spans="2:21" ht="15.6">
      <c r="B11" s="240"/>
      <c r="C11" s="220" t="s">
        <v>49</v>
      </c>
      <c r="D11" s="225"/>
      <c r="E11" s="225"/>
      <c r="F11" s="225"/>
      <c r="G11" s="225"/>
      <c r="H11" s="225"/>
      <c r="I11" s="225"/>
      <c r="J11" s="220"/>
      <c r="K11" s="225"/>
      <c r="L11" s="220"/>
      <c r="M11" s="225"/>
      <c r="N11" s="220"/>
      <c r="O11" s="225"/>
      <c r="P11" s="225"/>
      <c r="Q11" s="220"/>
      <c r="R11" s="225"/>
      <c r="S11" s="225"/>
      <c r="T11" s="226">
        <f t="shared" si="0"/>
        <v>0</v>
      </c>
      <c r="U11" s="227">
        <f t="shared" si="2"/>
        <v>134.60000000000002</v>
      </c>
    </row>
    <row r="12" spans="2:21" ht="16.2" thickBot="1">
      <c r="B12" s="240"/>
      <c r="C12" s="220" t="s">
        <v>50</v>
      </c>
      <c r="D12" s="225"/>
      <c r="E12" s="225"/>
      <c r="F12" s="225"/>
      <c r="G12" s="225"/>
      <c r="H12" s="225"/>
      <c r="I12" s="225"/>
      <c r="J12" s="220"/>
      <c r="K12" s="225"/>
      <c r="L12" s="220"/>
      <c r="M12" s="225"/>
      <c r="N12" s="220"/>
      <c r="O12" s="225"/>
      <c r="P12" s="225"/>
      <c r="Q12" s="220"/>
      <c r="R12" s="225"/>
      <c r="S12" s="225"/>
      <c r="T12" s="226">
        <f t="shared" si="0"/>
        <v>0</v>
      </c>
      <c r="U12" s="227">
        <f t="shared" si="2"/>
        <v>134.60000000000002</v>
      </c>
    </row>
    <row r="13" spans="2:21" ht="15.6">
      <c r="B13" s="242"/>
      <c r="C13" s="222" t="s">
        <v>51</v>
      </c>
      <c r="D13" s="221"/>
      <c r="E13" s="221"/>
      <c r="F13" s="221"/>
      <c r="G13" s="221"/>
      <c r="H13" s="221"/>
      <c r="I13" s="221"/>
      <c r="J13" s="229"/>
      <c r="K13" s="221"/>
      <c r="L13" s="221"/>
      <c r="M13" s="221"/>
      <c r="N13" s="222"/>
      <c r="O13" s="221"/>
      <c r="P13" s="221"/>
      <c r="Q13" s="222"/>
      <c r="R13" s="221"/>
      <c r="S13" s="221"/>
      <c r="T13" s="228">
        <f t="shared" si="0"/>
        <v>0</v>
      </c>
      <c r="U13" s="224">
        <f t="shared" si="2"/>
        <v>134.60000000000002</v>
      </c>
    </row>
    <row r="14" spans="2:21" ht="15.6">
      <c r="B14" s="240"/>
      <c r="C14" s="220" t="s">
        <v>52</v>
      </c>
      <c r="D14" s="225"/>
      <c r="E14" s="225"/>
      <c r="F14" s="225"/>
      <c r="G14" s="225"/>
      <c r="H14" s="225"/>
      <c r="I14" s="225"/>
      <c r="J14" s="230"/>
      <c r="K14" s="225"/>
      <c r="L14" s="225"/>
      <c r="M14" s="225"/>
      <c r="N14" s="220"/>
      <c r="O14" s="225"/>
      <c r="P14" s="225"/>
      <c r="Q14" s="220"/>
      <c r="R14" s="225"/>
      <c r="S14" s="225"/>
      <c r="T14" s="226">
        <f t="shared" si="0"/>
        <v>0</v>
      </c>
      <c r="U14" s="227">
        <f t="shared" si="2"/>
        <v>134.60000000000002</v>
      </c>
    </row>
    <row r="15" spans="2:21" ht="15.6">
      <c r="B15" s="240"/>
      <c r="C15" s="220" t="s">
        <v>53</v>
      </c>
      <c r="D15" s="225"/>
      <c r="E15" s="225"/>
      <c r="F15" s="225"/>
      <c r="G15" s="225"/>
      <c r="H15" s="225"/>
      <c r="I15" s="225"/>
      <c r="J15" s="230"/>
      <c r="K15" s="225">
        <f>20.2+20.8</f>
        <v>41</v>
      </c>
      <c r="L15" s="225"/>
      <c r="M15" s="225">
        <f>21.8+21.1+18+19.8+19+19.9+19.5</f>
        <v>139.1</v>
      </c>
      <c r="N15" s="220"/>
      <c r="O15" s="225"/>
      <c r="P15" s="225"/>
      <c r="Q15" s="220"/>
      <c r="R15" s="225"/>
      <c r="S15" s="225"/>
      <c r="T15" s="226">
        <f t="shared" si="0"/>
        <v>180.1</v>
      </c>
      <c r="U15" s="227">
        <f t="shared" si="2"/>
        <v>314.70000000000005</v>
      </c>
    </row>
    <row r="16" spans="2:21" ht="15.6">
      <c r="B16" s="240">
        <v>41</v>
      </c>
      <c r="C16" s="220" t="s">
        <v>54</v>
      </c>
      <c r="D16" s="225"/>
      <c r="E16" s="225"/>
      <c r="F16" s="225"/>
      <c r="G16" s="225"/>
      <c r="H16" s="225"/>
      <c r="I16" s="225"/>
      <c r="J16" s="230"/>
      <c r="K16" s="225"/>
      <c r="L16" s="225"/>
      <c r="M16" s="225"/>
      <c r="N16" s="220"/>
      <c r="O16" s="225"/>
      <c r="P16" s="225"/>
      <c r="Q16" s="220"/>
      <c r="R16" s="225"/>
      <c r="S16" s="225"/>
      <c r="T16" s="226">
        <f t="shared" si="0"/>
        <v>0</v>
      </c>
      <c r="U16" s="227">
        <f t="shared" si="2"/>
        <v>314.70000000000005</v>
      </c>
    </row>
    <row r="17" spans="2:21" ht="15.6">
      <c r="B17" s="240"/>
      <c r="C17" s="220" t="s">
        <v>55</v>
      </c>
      <c r="D17" s="225"/>
      <c r="E17" s="225"/>
      <c r="F17" s="225"/>
      <c r="G17" s="225"/>
      <c r="H17" s="225"/>
      <c r="I17" s="225"/>
      <c r="J17" s="230"/>
      <c r="K17" s="225"/>
      <c r="L17" s="225"/>
      <c r="M17" s="225"/>
      <c r="N17" s="220"/>
      <c r="O17" s="225"/>
      <c r="P17" s="225"/>
      <c r="Q17" s="220"/>
      <c r="R17" s="225"/>
      <c r="S17" s="225"/>
      <c r="T17" s="226">
        <f t="shared" si="0"/>
        <v>0</v>
      </c>
      <c r="U17" s="227">
        <f t="shared" si="2"/>
        <v>314.70000000000005</v>
      </c>
    </row>
    <row r="18" spans="2:21" ht="15.6">
      <c r="B18" s="240"/>
      <c r="C18" s="220" t="s">
        <v>56</v>
      </c>
      <c r="D18" s="225"/>
      <c r="E18" s="225"/>
      <c r="F18" s="225"/>
      <c r="G18" s="225"/>
      <c r="H18" s="225"/>
      <c r="I18" s="225"/>
      <c r="J18" s="230"/>
      <c r="K18" s="225"/>
      <c r="L18" s="225"/>
      <c r="M18" s="225"/>
      <c r="N18" s="220"/>
      <c r="O18" s="225"/>
      <c r="P18" s="225"/>
      <c r="Q18" s="220"/>
      <c r="R18" s="225"/>
      <c r="S18" s="225"/>
      <c r="T18" s="226">
        <f t="shared" si="0"/>
        <v>0</v>
      </c>
      <c r="U18" s="227">
        <f t="shared" si="2"/>
        <v>314.70000000000005</v>
      </c>
    </row>
    <row r="19" spans="2:21" ht="16.2" thickBot="1">
      <c r="B19" s="244"/>
      <c r="C19" s="233" t="s">
        <v>57</v>
      </c>
      <c r="D19" s="231"/>
      <c r="E19" s="231"/>
      <c r="F19" s="231"/>
      <c r="G19" s="231"/>
      <c r="H19" s="231"/>
      <c r="I19" s="231"/>
      <c r="J19" s="232"/>
      <c r="K19" s="231"/>
      <c r="L19" s="231"/>
      <c r="M19" s="231"/>
      <c r="N19" s="233"/>
      <c r="O19" s="231"/>
      <c r="P19" s="231"/>
      <c r="Q19" s="233"/>
      <c r="R19" s="231"/>
      <c r="S19" s="231"/>
      <c r="T19" s="234">
        <f t="shared" si="0"/>
        <v>0</v>
      </c>
      <c r="U19" s="235">
        <f t="shared" si="2"/>
        <v>314.70000000000005</v>
      </c>
    </row>
    <row r="20" spans="2:21" ht="15.6">
      <c r="B20" s="242"/>
      <c r="C20" s="222" t="s">
        <v>58</v>
      </c>
      <c r="D20" s="221"/>
      <c r="E20" s="221"/>
      <c r="F20" s="221"/>
      <c r="G20" s="221"/>
      <c r="H20" s="221"/>
      <c r="I20" s="221"/>
      <c r="J20" s="221"/>
      <c r="K20" s="221">
        <f>20+20</f>
        <v>40</v>
      </c>
      <c r="L20" s="221"/>
      <c r="M20" s="221">
        <f>20+18.6+20+18.5+19.5+18.9</f>
        <v>115.5</v>
      </c>
      <c r="N20" s="221"/>
      <c r="O20" s="221"/>
      <c r="P20" s="221"/>
      <c r="Q20" s="221"/>
      <c r="R20" s="221"/>
      <c r="S20" s="221"/>
      <c r="T20" s="228">
        <f t="shared" si="0"/>
        <v>155.5</v>
      </c>
      <c r="U20" s="236">
        <f t="shared" si="2"/>
        <v>470.20000000000005</v>
      </c>
    </row>
    <row r="21" spans="2:21" ht="15.6">
      <c r="B21" s="240"/>
      <c r="C21" s="220" t="s">
        <v>59</v>
      </c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6">
        <f t="shared" si="0"/>
        <v>0</v>
      </c>
      <c r="U21" s="237">
        <f t="shared" si="2"/>
        <v>470.20000000000005</v>
      </c>
    </row>
    <row r="22" spans="2:21" ht="15.6">
      <c r="B22" s="240"/>
      <c r="C22" s="220" t="s">
        <v>60</v>
      </c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6">
        <f t="shared" si="0"/>
        <v>0</v>
      </c>
      <c r="U22" s="237">
        <f t="shared" si="2"/>
        <v>470.20000000000005</v>
      </c>
    </row>
    <row r="23" spans="2:21" ht="15.6">
      <c r="B23" s="240">
        <v>42</v>
      </c>
      <c r="C23" s="220" t="s">
        <v>61</v>
      </c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6">
        <f t="shared" si="0"/>
        <v>0</v>
      </c>
      <c r="U23" s="237">
        <f t="shared" si="2"/>
        <v>470.20000000000005</v>
      </c>
    </row>
    <row r="24" spans="2:21" ht="15.6">
      <c r="B24" s="240"/>
      <c r="C24" s="220" t="s">
        <v>62</v>
      </c>
      <c r="D24" s="225"/>
      <c r="E24" s="225"/>
      <c r="F24" s="225"/>
      <c r="G24" s="225"/>
      <c r="H24" s="225"/>
      <c r="I24" s="225"/>
      <c r="J24" s="225"/>
      <c r="K24" s="225">
        <f>20.1+19.6</f>
        <v>39.700000000000003</v>
      </c>
      <c r="L24" s="225"/>
      <c r="M24" s="225">
        <f>10.3+19.2+12.4</f>
        <v>41.9</v>
      </c>
      <c r="N24" s="225"/>
      <c r="O24" s="225"/>
      <c r="P24" s="225">
        <v>6.4</v>
      </c>
      <c r="Q24" s="225"/>
      <c r="R24" s="225"/>
      <c r="S24" s="225"/>
      <c r="T24" s="226">
        <f t="shared" si="0"/>
        <v>88</v>
      </c>
      <c r="U24" s="237">
        <f t="shared" si="2"/>
        <v>558.20000000000005</v>
      </c>
    </row>
    <row r="25" spans="2:21" ht="15.6">
      <c r="B25" s="240"/>
      <c r="C25" s="220" t="s">
        <v>63</v>
      </c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6">
        <f t="shared" si="0"/>
        <v>0</v>
      </c>
      <c r="U25" s="237">
        <f t="shared" si="2"/>
        <v>558.20000000000005</v>
      </c>
    </row>
    <row r="26" spans="2:21" ht="16.2" thickBot="1">
      <c r="B26" s="244"/>
      <c r="C26" s="233" t="s">
        <v>64</v>
      </c>
      <c r="D26" s="231"/>
      <c r="E26" s="23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>
        <f t="shared" si="0"/>
        <v>0</v>
      </c>
      <c r="U26" s="238">
        <f t="shared" si="2"/>
        <v>558.20000000000005</v>
      </c>
    </row>
    <row r="27" spans="2:21" ht="15.6">
      <c r="B27" s="219"/>
      <c r="C27" s="220" t="s">
        <v>65</v>
      </c>
      <c r="D27" s="221"/>
      <c r="E27" s="221"/>
      <c r="F27" s="221"/>
      <c r="G27" s="221"/>
      <c r="H27" s="221"/>
      <c r="I27" s="221"/>
      <c r="J27" s="221"/>
      <c r="K27" s="221">
        <v>30</v>
      </c>
      <c r="L27" s="221"/>
      <c r="M27" s="221">
        <v>60</v>
      </c>
      <c r="N27" s="221"/>
      <c r="O27" s="221"/>
      <c r="P27" s="221">
        <v>50</v>
      </c>
      <c r="Q27" s="221"/>
      <c r="R27" s="221"/>
      <c r="S27" s="228">
        <v>30</v>
      </c>
      <c r="T27" s="228">
        <f t="shared" si="0"/>
        <v>170</v>
      </c>
      <c r="U27" s="236">
        <f t="shared" si="2"/>
        <v>728.2</v>
      </c>
    </row>
    <row r="28" spans="2:21" ht="15.6">
      <c r="B28" s="240"/>
      <c r="C28" s="220" t="s">
        <v>66</v>
      </c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6"/>
      <c r="T28" s="226">
        <f t="shared" si="0"/>
        <v>0</v>
      </c>
      <c r="U28" s="237">
        <f t="shared" si="2"/>
        <v>728.2</v>
      </c>
    </row>
    <row r="29" spans="2:21" ht="15.6">
      <c r="B29" s="240"/>
      <c r="C29" s="219" t="s">
        <v>67</v>
      </c>
      <c r="D29" s="225"/>
      <c r="E29" s="225"/>
      <c r="F29" s="225"/>
      <c r="G29" s="225">
        <v>50</v>
      </c>
      <c r="H29" s="225"/>
      <c r="I29" s="225"/>
      <c r="J29" s="225"/>
      <c r="K29" s="225"/>
      <c r="L29" s="225"/>
      <c r="M29" s="225"/>
      <c r="N29" s="225">
        <v>37</v>
      </c>
      <c r="O29" s="225"/>
      <c r="P29" s="225">
        <v>90</v>
      </c>
      <c r="Q29" s="225"/>
      <c r="R29" s="225"/>
      <c r="S29" s="239">
        <v>40</v>
      </c>
      <c r="T29" s="226">
        <f t="shared" si="0"/>
        <v>217</v>
      </c>
      <c r="U29" s="237">
        <f t="shared" si="2"/>
        <v>945.2</v>
      </c>
    </row>
    <row r="30" spans="2:21" ht="15.6">
      <c r="B30" s="240">
        <v>43</v>
      </c>
      <c r="C30" s="220" t="s">
        <v>68</v>
      </c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6"/>
      <c r="T30" s="226">
        <f t="shared" si="0"/>
        <v>0</v>
      </c>
      <c r="U30" s="237">
        <f t="shared" si="2"/>
        <v>945.2</v>
      </c>
    </row>
    <row r="31" spans="2:21" ht="15.6">
      <c r="B31" s="240"/>
      <c r="C31" s="220" t="s">
        <v>69</v>
      </c>
      <c r="D31" s="225"/>
      <c r="E31" s="225"/>
      <c r="F31" s="225"/>
      <c r="G31" s="225">
        <v>10</v>
      </c>
      <c r="H31" s="225"/>
      <c r="I31" s="225"/>
      <c r="J31" s="225"/>
      <c r="K31" s="225"/>
      <c r="L31" s="225"/>
      <c r="M31" s="225"/>
      <c r="N31" s="225">
        <v>60</v>
      </c>
      <c r="O31" s="225"/>
      <c r="P31" s="225">
        <v>60</v>
      </c>
      <c r="Q31" s="225">
        <v>20</v>
      </c>
      <c r="R31" s="225"/>
      <c r="S31" s="226">
        <v>30</v>
      </c>
      <c r="T31" s="226">
        <f t="shared" si="0"/>
        <v>180</v>
      </c>
      <c r="U31" s="237">
        <f t="shared" si="2"/>
        <v>1125.2</v>
      </c>
    </row>
    <row r="32" spans="2:21" ht="15.6">
      <c r="B32" s="240"/>
      <c r="C32" s="220" t="s">
        <v>70</v>
      </c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6"/>
      <c r="T32" s="226">
        <f t="shared" si="0"/>
        <v>0</v>
      </c>
      <c r="U32" s="237">
        <f t="shared" si="2"/>
        <v>1125.2</v>
      </c>
    </row>
    <row r="33" spans="2:21" ht="16.2" thickBot="1">
      <c r="B33" s="270"/>
      <c r="C33" s="220" t="s">
        <v>71</v>
      </c>
      <c r="D33" s="231"/>
      <c r="E33" s="231"/>
      <c r="F33" s="231"/>
      <c r="G33" s="231"/>
      <c r="H33" s="231"/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4"/>
      <c r="T33" s="234">
        <f t="shared" si="0"/>
        <v>0</v>
      </c>
      <c r="U33" s="238">
        <f t="shared" si="2"/>
        <v>1125.2</v>
      </c>
    </row>
    <row r="34" spans="2:21" ht="15.6">
      <c r="B34" s="242"/>
      <c r="C34" s="222" t="s">
        <v>72</v>
      </c>
      <c r="D34" s="225"/>
      <c r="E34" s="241">
        <v>10</v>
      </c>
      <c r="F34" s="241"/>
      <c r="G34" s="241">
        <v>60</v>
      </c>
      <c r="H34" s="241"/>
      <c r="I34" s="225"/>
      <c r="J34" s="225"/>
      <c r="K34" s="225">
        <v>120</v>
      </c>
      <c r="L34" s="225"/>
      <c r="M34" s="225">
        <v>150</v>
      </c>
      <c r="N34" s="225">
        <v>80</v>
      </c>
      <c r="O34" s="225">
        <v>10</v>
      </c>
      <c r="P34" s="225">
        <v>140</v>
      </c>
      <c r="Q34" s="225"/>
      <c r="R34" s="225"/>
      <c r="S34" s="226"/>
      <c r="T34" s="226">
        <f t="shared" si="0"/>
        <v>570</v>
      </c>
      <c r="U34" s="227">
        <f t="shared" si="2"/>
        <v>1695.2</v>
      </c>
    </row>
    <row r="35" spans="2:21" ht="15.6">
      <c r="B35" s="240"/>
      <c r="C35" s="220" t="s">
        <v>73</v>
      </c>
      <c r="D35" s="225"/>
      <c r="E35" s="241"/>
      <c r="F35" s="241"/>
      <c r="G35" s="241"/>
      <c r="H35" s="241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6"/>
      <c r="T35" s="226">
        <f t="shared" si="0"/>
        <v>0</v>
      </c>
      <c r="U35" s="227">
        <f t="shared" si="2"/>
        <v>1695.2</v>
      </c>
    </row>
    <row r="36" spans="2:21" ht="15.6">
      <c r="B36" s="240"/>
      <c r="C36" s="220" t="s">
        <v>74</v>
      </c>
      <c r="D36" s="225"/>
      <c r="E36" s="241"/>
      <c r="F36" s="241"/>
      <c r="G36" s="241">
        <v>50</v>
      </c>
      <c r="H36" s="241"/>
      <c r="I36" s="225"/>
      <c r="J36" s="225"/>
      <c r="K36" s="225"/>
      <c r="L36" s="225"/>
      <c r="M36" s="225"/>
      <c r="N36" s="225">
        <v>180</v>
      </c>
      <c r="O36" s="225"/>
      <c r="P36" s="225">
        <v>160</v>
      </c>
      <c r="Q36" s="225">
        <v>20</v>
      </c>
      <c r="R36" s="225">
        <v>40</v>
      </c>
      <c r="S36" s="226">
        <v>40</v>
      </c>
      <c r="T36" s="226">
        <f t="shared" si="0"/>
        <v>490</v>
      </c>
      <c r="U36" s="227">
        <f t="shared" si="2"/>
        <v>2185.1999999999998</v>
      </c>
    </row>
    <row r="37" spans="2:21" ht="15.6">
      <c r="B37" s="240">
        <v>44</v>
      </c>
      <c r="C37" s="220" t="s">
        <v>75</v>
      </c>
      <c r="D37" s="225"/>
      <c r="E37" s="241"/>
      <c r="F37" s="241"/>
      <c r="G37" s="241"/>
      <c r="H37" s="241"/>
      <c r="I37" s="225"/>
      <c r="J37" s="225"/>
      <c r="K37" s="225">
        <v>240</v>
      </c>
      <c r="L37" s="225"/>
      <c r="M37" s="225">
        <v>220</v>
      </c>
      <c r="N37" s="225"/>
      <c r="O37" s="225"/>
      <c r="P37" s="225"/>
      <c r="Q37" s="225"/>
      <c r="R37" s="225"/>
      <c r="S37" s="226"/>
      <c r="T37" s="226">
        <f t="shared" si="0"/>
        <v>460</v>
      </c>
      <c r="U37" s="227">
        <f t="shared" si="2"/>
        <v>2645.2</v>
      </c>
    </row>
    <row r="38" spans="2:21" ht="15.6">
      <c r="B38" s="240"/>
      <c r="C38" s="220" t="s">
        <v>76</v>
      </c>
      <c r="D38" s="225"/>
      <c r="E38" s="241"/>
      <c r="F38" s="241">
        <v>10</v>
      </c>
      <c r="G38" s="241">
        <v>70</v>
      </c>
      <c r="H38" s="241"/>
      <c r="I38" s="225"/>
      <c r="J38" s="225"/>
      <c r="K38" s="225">
        <v>10</v>
      </c>
      <c r="L38" s="225"/>
      <c r="M38" s="225"/>
      <c r="N38" s="225">
        <v>190</v>
      </c>
      <c r="O38" s="225"/>
      <c r="P38" s="225">
        <v>210</v>
      </c>
      <c r="Q38" s="225">
        <v>20</v>
      </c>
      <c r="R38" s="225">
        <v>20</v>
      </c>
      <c r="S38" s="226"/>
      <c r="T38" s="239">
        <f t="shared" si="0"/>
        <v>530</v>
      </c>
      <c r="U38" s="227">
        <f t="shared" si="2"/>
        <v>3175.2</v>
      </c>
    </row>
    <row r="39" spans="2:21" ht="15.6">
      <c r="B39" s="270"/>
      <c r="C39" s="220" t="s">
        <v>77</v>
      </c>
      <c r="D39" s="225"/>
      <c r="E39" s="241"/>
      <c r="F39" s="241"/>
      <c r="G39" s="241"/>
      <c r="H39" s="241"/>
      <c r="I39" s="225"/>
      <c r="J39" s="225"/>
      <c r="K39" s="225"/>
      <c r="L39" s="225"/>
      <c r="M39" s="225"/>
      <c r="N39" s="225"/>
      <c r="O39" s="225"/>
      <c r="P39" s="225"/>
      <c r="Q39" s="225"/>
      <c r="R39" s="225"/>
      <c r="S39" s="226"/>
      <c r="T39" s="239">
        <f t="shared" si="0"/>
        <v>0</v>
      </c>
      <c r="U39" s="227">
        <f t="shared" si="2"/>
        <v>3175.2</v>
      </c>
    </row>
    <row r="40" spans="2:21" ht="16.2" thickBot="1">
      <c r="B40" s="240"/>
      <c r="C40" s="220" t="s">
        <v>78</v>
      </c>
      <c r="D40" s="225"/>
      <c r="E40" s="241"/>
      <c r="F40" s="241"/>
      <c r="G40" s="241"/>
      <c r="H40" s="241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6"/>
      <c r="T40" s="239">
        <f t="shared" si="0"/>
        <v>0</v>
      </c>
      <c r="U40" s="227">
        <f t="shared" si="2"/>
        <v>3175.2</v>
      </c>
    </row>
    <row r="41" spans="2:21" ht="15.6">
      <c r="B41" s="242"/>
      <c r="C41" s="243" t="s">
        <v>79</v>
      </c>
      <c r="D41" s="221"/>
      <c r="E41" s="243"/>
      <c r="F41" s="243"/>
      <c r="G41" s="243">
        <v>230</v>
      </c>
      <c r="H41" s="243"/>
      <c r="I41" s="221"/>
      <c r="J41" s="221"/>
      <c r="K41" s="221"/>
      <c r="L41" s="221"/>
      <c r="M41" s="221"/>
      <c r="N41" s="221">
        <v>325</v>
      </c>
      <c r="O41" s="221">
        <v>25</v>
      </c>
      <c r="P41" s="221">
        <v>500</v>
      </c>
      <c r="Q41" s="221"/>
      <c r="R41" s="221">
        <v>45</v>
      </c>
      <c r="S41" s="228">
        <v>40</v>
      </c>
      <c r="T41" s="223">
        <f t="shared" si="0"/>
        <v>1165</v>
      </c>
      <c r="U41" s="224">
        <f t="shared" si="2"/>
        <v>4340.2</v>
      </c>
    </row>
    <row r="42" spans="2:21" ht="15.6">
      <c r="B42" s="240"/>
      <c r="C42" s="241" t="s">
        <v>80</v>
      </c>
      <c r="D42" s="225">
        <v>8.9</v>
      </c>
      <c r="E42" s="241"/>
      <c r="F42" s="241">
        <v>30</v>
      </c>
      <c r="G42" s="241">
        <v>140</v>
      </c>
      <c r="H42" s="241"/>
      <c r="I42" s="225"/>
      <c r="J42" s="225"/>
      <c r="K42" s="225">
        <v>320.7</v>
      </c>
      <c r="L42" s="225"/>
      <c r="M42" s="225">
        <v>220</v>
      </c>
      <c r="N42" s="225">
        <v>365</v>
      </c>
      <c r="O42" s="225"/>
      <c r="P42" s="225"/>
      <c r="Q42" s="225">
        <v>10</v>
      </c>
      <c r="R42" s="225"/>
      <c r="S42" s="226"/>
      <c r="T42" s="239">
        <f t="shared" si="0"/>
        <v>1094.5999999999999</v>
      </c>
      <c r="U42" s="227">
        <f t="shared" si="2"/>
        <v>5434.7999999999993</v>
      </c>
    </row>
    <row r="43" spans="2:21" ht="15.6">
      <c r="B43" s="240"/>
      <c r="C43" s="241" t="s">
        <v>81</v>
      </c>
      <c r="D43" s="225"/>
      <c r="E43" s="241"/>
      <c r="F43" s="241"/>
      <c r="G43" s="241">
        <v>345</v>
      </c>
      <c r="H43" s="241"/>
      <c r="I43" s="225"/>
      <c r="J43" s="225"/>
      <c r="K43" s="225"/>
      <c r="L43" s="225"/>
      <c r="M43" s="225"/>
      <c r="N43" s="225">
        <v>540</v>
      </c>
      <c r="O43" s="225"/>
      <c r="P43" s="226">
        <v>370</v>
      </c>
      <c r="Q43" s="226"/>
      <c r="R43" s="226">
        <v>20</v>
      </c>
      <c r="S43" s="226">
        <v>20</v>
      </c>
      <c r="T43" s="239">
        <f t="shared" si="0"/>
        <v>1295</v>
      </c>
      <c r="U43" s="227">
        <f t="shared" si="2"/>
        <v>6729.7999999999993</v>
      </c>
    </row>
    <row r="44" spans="2:21" ht="15.6">
      <c r="B44" s="240">
        <v>45</v>
      </c>
      <c r="C44" s="241" t="s">
        <v>82</v>
      </c>
      <c r="D44" s="225"/>
      <c r="E44" s="241"/>
      <c r="F44" s="241"/>
      <c r="G44" s="241"/>
      <c r="H44" s="241"/>
      <c r="I44" s="225"/>
      <c r="J44" s="225"/>
      <c r="K44" s="225"/>
      <c r="L44" s="225"/>
      <c r="M44" s="225"/>
      <c r="N44" s="225"/>
      <c r="O44" s="225"/>
      <c r="P44" s="226"/>
      <c r="Q44" s="226"/>
      <c r="R44" s="226"/>
      <c r="S44" s="226"/>
      <c r="T44" s="239">
        <f t="shared" si="0"/>
        <v>0</v>
      </c>
      <c r="U44" s="227">
        <f t="shared" si="2"/>
        <v>6729.7999999999993</v>
      </c>
    </row>
    <row r="45" spans="2:21" ht="15.6">
      <c r="B45" s="240"/>
      <c r="C45" s="241" t="s">
        <v>83</v>
      </c>
      <c r="D45" s="225"/>
      <c r="E45" s="241"/>
      <c r="F45" s="241"/>
      <c r="G45" s="241"/>
      <c r="H45" s="241"/>
      <c r="I45" s="225"/>
      <c r="J45" s="225"/>
      <c r="K45" s="225"/>
      <c r="L45" s="225"/>
      <c r="M45" s="225"/>
      <c r="N45" s="225">
        <v>2240</v>
      </c>
      <c r="O45" s="225"/>
      <c r="P45" s="226">
        <v>300</v>
      </c>
      <c r="Q45" s="226"/>
      <c r="R45" s="226"/>
      <c r="S45" s="226"/>
      <c r="T45" s="239">
        <f t="shared" si="0"/>
        <v>2540</v>
      </c>
      <c r="U45" s="227">
        <f t="shared" si="2"/>
        <v>9269.7999999999993</v>
      </c>
    </row>
    <row r="46" spans="2:21" ht="15.6">
      <c r="B46" s="270"/>
      <c r="C46" s="241" t="s">
        <v>84</v>
      </c>
      <c r="D46" s="225"/>
      <c r="E46" s="241"/>
      <c r="F46" s="241"/>
      <c r="G46" s="241">
        <v>1180</v>
      </c>
      <c r="H46" s="241"/>
      <c r="I46" s="225"/>
      <c r="J46" s="225"/>
      <c r="K46" s="225"/>
      <c r="L46" s="225"/>
      <c r="M46" s="225"/>
      <c r="N46" s="225"/>
      <c r="O46" s="225">
        <v>20</v>
      </c>
      <c r="P46" s="226">
        <v>210</v>
      </c>
      <c r="Q46" s="226">
        <v>50</v>
      </c>
      <c r="R46" s="226"/>
      <c r="S46" s="226"/>
      <c r="T46" s="239">
        <f t="shared" si="0"/>
        <v>1460</v>
      </c>
      <c r="U46" s="227">
        <f t="shared" si="2"/>
        <v>10729.8</v>
      </c>
    </row>
    <row r="47" spans="2:21" ht="16.2" thickBot="1">
      <c r="B47" s="244"/>
      <c r="C47" s="245" t="s">
        <v>85</v>
      </c>
      <c r="D47" s="225"/>
      <c r="E47" s="241"/>
      <c r="F47" s="241"/>
      <c r="G47" s="241"/>
      <c r="H47" s="241"/>
      <c r="I47" s="225"/>
      <c r="J47" s="225"/>
      <c r="K47" s="225"/>
      <c r="L47" s="225"/>
      <c r="M47" s="225"/>
      <c r="N47" s="225"/>
      <c r="O47" s="225"/>
      <c r="P47" s="226"/>
      <c r="Q47" s="226"/>
      <c r="R47" s="226"/>
      <c r="S47" s="226"/>
      <c r="T47" s="239">
        <f t="shared" si="0"/>
        <v>0</v>
      </c>
      <c r="U47" s="227">
        <f t="shared" si="2"/>
        <v>10729.8</v>
      </c>
    </row>
    <row r="48" spans="2:21" ht="15.6">
      <c r="B48" s="242"/>
      <c r="C48" s="222" t="s">
        <v>86</v>
      </c>
      <c r="D48" s="221"/>
      <c r="E48" s="243"/>
      <c r="F48" s="243"/>
      <c r="G48" s="243">
        <v>220</v>
      </c>
      <c r="H48" s="243"/>
      <c r="I48" s="221"/>
      <c r="J48" s="221"/>
      <c r="K48" s="221"/>
      <c r="L48" s="221"/>
      <c r="M48" s="221"/>
      <c r="N48" s="221">
        <v>2882.5</v>
      </c>
      <c r="O48" s="221"/>
      <c r="P48" s="228">
        <v>190</v>
      </c>
      <c r="Q48" s="228"/>
      <c r="R48" s="228"/>
      <c r="S48" s="228"/>
      <c r="T48" s="223">
        <f t="shared" si="0"/>
        <v>3292.5</v>
      </c>
      <c r="U48" s="236">
        <f t="shared" si="2"/>
        <v>14022.3</v>
      </c>
    </row>
    <row r="49" spans="2:21" ht="15.6">
      <c r="B49" s="240"/>
      <c r="C49" s="220" t="s">
        <v>87</v>
      </c>
      <c r="D49" s="225"/>
      <c r="E49" s="241">
        <v>50</v>
      </c>
      <c r="F49" s="241"/>
      <c r="G49" s="241">
        <v>1880</v>
      </c>
      <c r="H49" s="241"/>
      <c r="I49" s="225"/>
      <c r="J49" s="225"/>
      <c r="K49" s="225">
        <v>80</v>
      </c>
      <c r="L49" s="225"/>
      <c r="M49" s="225">
        <v>70</v>
      </c>
      <c r="N49" s="225">
        <v>102.5</v>
      </c>
      <c r="O49" s="225"/>
      <c r="P49" s="226"/>
      <c r="Q49" s="226"/>
      <c r="R49" s="226"/>
      <c r="S49" s="226"/>
      <c r="T49" s="239">
        <f t="shared" si="0"/>
        <v>2182.5</v>
      </c>
      <c r="U49" s="237">
        <f t="shared" si="2"/>
        <v>16204.8</v>
      </c>
    </row>
    <row r="50" spans="2:21" ht="15.6">
      <c r="B50" s="240"/>
      <c r="C50" s="220" t="s">
        <v>88</v>
      </c>
      <c r="D50" s="225"/>
      <c r="E50" s="241"/>
      <c r="F50" s="241"/>
      <c r="G50" s="241"/>
      <c r="H50" s="241"/>
      <c r="I50" s="225"/>
      <c r="J50" s="225"/>
      <c r="K50" s="225"/>
      <c r="L50" s="225"/>
      <c r="M50" s="225"/>
      <c r="N50" s="225"/>
      <c r="O50" s="225"/>
      <c r="P50" s="226"/>
      <c r="Q50" s="226"/>
      <c r="R50" s="226"/>
      <c r="S50" s="226"/>
      <c r="T50" s="239">
        <f t="shared" si="0"/>
        <v>0</v>
      </c>
      <c r="U50" s="237">
        <f t="shared" si="2"/>
        <v>16204.8</v>
      </c>
    </row>
    <row r="51" spans="2:21" ht="15.6">
      <c r="B51" s="240">
        <v>46</v>
      </c>
      <c r="C51" s="220" t="s">
        <v>89</v>
      </c>
      <c r="D51" s="225">
        <v>380</v>
      </c>
      <c r="E51" s="241">
        <v>10</v>
      </c>
      <c r="F51" s="241"/>
      <c r="G51" s="241"/>
      <c r="H51" s="241"/>
      <c r="I51" s="225"/>
      <c r="J51" s="225"/>
      <c r="K51" s="225"/>
      <c r="L51" s="225"/>
      <c r="M51" s="225"/>
      <c r="N51" s="225">
        <v>2350</v>
      </c>
      <c r="O51" s="225"/>
      <c r="P51" s="239"/>
      <c r="Q51" s="239"/>
      <c r="R51" s="239"/>
      <c r="S51" s="239"/>
      <c r="T51" s="239">
        <f t="shared" si="0"/>
        <v>2740</v>
      </c>
      <c r="U51" s="237">
        <f t="shared" si="2"/>
        <v>18944.8</v>
      </c>
    </row>
    <row r="52" spans="2:21" ht="15.6">
      <c r="B52" s="270"/>
      <c r="C52" s="220" t="s">
        <v>90</v>
      </c>
      <c r="D52" s="225"/>
      <c r="E52" s="241"/>
      <c r="F52" s="241"/>
      <c r="G52" s="241">
        <v>1405</v>
      </c>
      <c r="H52" s="241"/>
      <c r="I52" s="225"/>
      <c r="J52" s="225"/>
      <c r="K52" s="225"/>
      <c r="L52" s="225"/>
      <c r="M52" s="225">
        <v>20</v>
      </c>
      <c r="N52" s="225">
        <v>580</v>
      </c>
      <c r="O52" s="225">
        <v>20</v>
      </c>
      <c r="P52" s="239">
        <v>200</v>
      </c>
      <c r="Q52" s="239"/>
      <c r="R52" s="239"/>
      <c r="S52" s="239"/>
      <c r="T52" s="239">
        <f t="shared" si="0"/>
        <v>2225</v>
      </c>
      <c r="U52" s="237">
        <f t="shared" si="2"/>
        <v>21169.8</v>
      </c>
    </row>
    <row r="53" spans="2:21" ht="15.6">
      <c r="B53" s="240"/>
      <c r="C53" s="220" t="s">
        <v>91</v>
      </c>
      <c r="D53" s="225"/>
      <c r="E53" s="241"/>
      <c r="F53" s="241"/>
      <c r="G53" s="241"/>
      <c r="H53" s="241"/>
      <c r="I53" s="225"/>
      <c r="J53" s="225"/>
      <c r="K53" s="225"/>
      <c r="L53" s="225"/>
      <c r="M53" s="225"/>
      <c r="N53" s="225"/>
      <c r="O53" s="225"/>
      <c r="P53" s="239"/>
      <c r="Q53" s="239"/>
      <c r="R53" s="239"/>
      <c r="S53" s="239"/>
      <c r="T53" s="239">
        <f t="shared" si="0"/>
        <v>0</v>
      </c>
      <c r="U53" s="237">
        <f t="shared" si="2"/>
        <v>21169.8</v>
      </c>
    </row>
    <row r="54" spans="2:21" ht="16.2" thickBot="1">
      <c r="B54" s="244"/>
      <c r="C54" s="233" t="s">
        <v>92</v>
      </c>
      <c r="D54" s="231"/>
      <c r="E54" s="245"/>
      <c r="F54" s="245"/>
      <c r="G54" s="245"/>
      <c r="H54" s="245"/>
      <c r="I54" s="231"/>
      <c r="J54" s="231"/>
      <c r="K54" s="231"/>
      <c r="L54" s="231"/>
      <c r="M54" s="231"/>
      <c r="N54" s="231"/>
      <c r="O54" s="231"/>
      <c r="P54" s="246"/>
      <c r="Q54" s="246"/>
      <c r="R54" s="246"/>
      <c r="S54" s="246"/>
      <c r="T54" s="246">
        <f t="shared" si="0"/>
        <v>0</v>
      </c>
      <c r="U54" s="238">
        <f t="shared" si="2"/>
        <v>21169.8</v>
      </c>
    </row>
    <row r="55" spans="2:21" ht="15.6">
      <c r="B55" s="242"/>
      <c r="C55" s="222" t="s">
        <v>93</v>
      </c>
      <c r="D55" s="221">
        <v>1200</v>
      </c>
      <c r="E55" s="243"/>
      <c r="F55" s="243"/>
      <c r="G55" s="243">
        <v>946.5</v>
      </c>
      <c r="H55" s="243"/>
      <c r="I55" s="221">
        <v>10</v>
      </c>
      <c r="J55" s="221"/>
      <c r="K55" s="221">
        <v>10</v>
      </c>
      <c r="L55" s="221"/>
      <c r="M55" s="221"/>
      <c r="N55" s="221">
        <v>900</v>
      </c>
      <c r="O55" s="221"/>
      <c r="P55" s="223"/>
      <c r="Q55" s="223"/>
      <c r="R55" s="223">
        <v>20</v>
      </c>
      <c r="S55" s="223"/>
      <c r="T55" s="223">
        <f t="shared" si="0"/>
        <v>3086.5</v>
      </c>
      <c r="U55" s="224">
        <f t="shared" si="2"/>
        <v>24256.3</v>
      </c>
    </row>
    <row r="56" spans="2:21" ht="15.6">
      <c r="B56" s="240"/>
      <c r="C56" s="220" t="s">
        <v>94</v>
      </c>
      <c r="D56" s="225"/>
      <c r="E56" s="241"/>
      <c r="F56" s="241"/>
      <c r="G56" s="241">
        <v>400</v>
      </c>
      <c r="H56" s="241"/>
      <c r="I56" s="225"/>
      <c r="J56" s="225"/>
      <c r="K56" s="225"/>
      <c r="L56" s="225"/>
      <c r="M56" s="225"/>
      <c r="N56" s="225">
        <v>736.6</v>
      </c>
      <c r="O56" s="225">
        <v>300</v>
      </c>
      <c r="P56" s="239"/>
      <c r="Q56" s="239"/>
      <c r="R56" s="239"/>
      <c r="S56" s="239"/>
      <c r="T56" s="239">
        <f t="shared" si="0"/>
        <v>1436.6</v>
      </c>
      <c r="U56" s="227">
        <f t="shared" si="2"/>
        <v>25692.899999999998</v>
      </c>
    </row>
    <row r="57" spans="2:21" ht="15.6">
      <c r="B57" s="240"/>
      <c r="C57" s="220" t="s">
        <v>95</v>
      </c>
      <c r="D57" s="225">
        <v>890</v>
      </c>
      <c r="E57" s="241"/>
      <c r="F57" s="241">
        <v>380</v>
      </c>
      <c r="G57" s="241">
        <v>90</v>
      </c>
      <c r="H57" s="241">
        <v>130</v>
      </c>
      <c r="I57" s="225"/>
      <c r="J57" s="225"/>
      <c r="K57" s="225"/>
      <c r="L57" s="225"/>
      <c r="M57" s="225"/>
      <c r="N57" s="225">
        <v>240</v>
      </c>
      <c r="O57" s="225"/>
      <c r="P57" s="239">
        <v>760</v>
      </c>
      <c r="Q57" s="239">
        <v>20</v>
      </c>
      <c r="R57" s="239"/>
      <c r="S57" s="239"/>
      <c r="T57" s="239">
        <f t="shared" si="0"/>
        <v>2510</v>
      </c>
      <c r="U57" s="227">
        <f t="shared" si="2"/>
        <v>28202.899999999998</v>
      </c>
    </row>
    <row r="58" spans="2:21" ht="15.6">
      <c r="B58" s="240">
        <v>47</v>
      </c>
      <c r="C58" s="220" t="s">
        <v>96</v>
      </c>
      <c r="D58" s="225"/>
      <c r="E58" s="241"/>
      <c r="F58" s="241"/>
      <c r="G58" s="241">
        <v>450</v>
      </c>
      <c r="H58" s="241"/>
      <c r="I58" s="225">
        <v>740</v>
      </c>
      <c r="J58" s="225"/>
      <c r="K58" s="225">
        <v>240</v>
      </c>
      <c r="L58" s="225"/>
      <c r="M58" s="225"/>
      <c r="N58" s="225">
        <v>1055</v>
      </c>
      <c r="O58" s="225"/>
      <c r="P58" s="239">
        <v>180</v>
      </c>
      <c r="Q58" s="239"/>
      <c r="R58" s="239"/>
      <c r="S58" s="239"/>
      <c r="T58" s="239">
        <f t="shared" si="0"/>
        <v>2665</v>
      </c>
      <c r="U58" s="227">
        <f t="shared" si="2"/>
        <v>30867.899999999998</v>
      </c>
    </row>
    <row r="59" spans="2:21" ht="15.6">
      <c r="B59" s="270"/>
      <c r="C59" s="220" t="s">
        <v>98</v>
      </c>
      <c r="D59" s="225"/>
      <c r="E59" s="241"/>
      <c r="F59" s="241"/>
      <c r="G59" s="241"/>
      <c r="H59" s="241"/>
      <c r="I59" s="225"/>
      <c r="J59" s="225"/>
      <c r="K59" s="225"/>
      <c r="L59" s="225"/>
      <c r="M59" s="225"/>
      <c r="N59" s="225"/>
      <c r="O59" s="225"/>
      <c r="P59" s="239"/>
      <c r="Q59" s="239"/>
      <c r="R59" s="239"/>
      <c r="S59" s="239"/>
      <c r="T59" s="239">
        <f t="shared" si="0"/>
        <v>0</v>
      </c>
      <c r="U59" s="227">
        <f t="shared" si="2"/>
        <v>30867.899999999998</v>
      </c>
    </row>
    <row r="60" spans="2:21" ht="15.6">
      <c r="B60" s="240"/>
      <c r="C60" s="220" t="s">
        <v>99</v>
      </c>
      <c r="D60" s="225"/>
      <c r="E60" s="241"/>
      <c r="F60" s="241"/>
      <c r="G60" s="241"/>
      <c r="H60" s="241"/>
      <c r="I60" s="225"/>
      <c r="J60" s="225"/>
      <c r="K60" s="225"/>
      <c r="L60" s="225"/>
      <c r="M60" s="225"/>
      <c r="N60" s="225"/>
      <c r="O60" s="225"/>
      <c r="P60" s="239"/>
      <c r="Q60" s="239"/>
      <c r="R60" s="239"/>
      <c r="S60" s="239"/>
      <c r="T60" s="239">
        <f t="shared" si="0"/>
        <v>0</v>
      </c>
      <c r="U60" s="227">
        <f t="shared" si="2"/>
        <v>30867.899999999998</v>
      </c>
    </row>
    <row r="61" spans="2:21" ht="16.2" thickBot="1">
      <c r="B61" s="244"/>
      <c r="C61" s="233" t="s">
        <v>100</v>
      </c>
      <c r="D61" s="231"/>
      <c r="E61" s="245"/>
      <c r="F61" s="245"/>
      <c r="G61" s="245"/>
      <c r="H61" s="245"/>
      <c r="I61" s="231"/>
      <c r="J61" s="231"/>
      <c r="K61" s="231"/>
      <c r="L61" s="231"/>
      <c r="M61" s="231"/>
      <c r="N61" s="231"/>
      <c r="O61" s="231"/>
      <c r="P61" s="246"/>
      <c r="Q61" s="246"/>
      <c r="R61" s="246"/>
      <c r="S61" s="246"/>
      <c r="T61" s="246">
        <f t="shared" si="0"/>
        <v>0</v>
      </c>
      <c r="U61" s="235">
        <f t="shared" si="2"/>
        <v>30867.899999999998</v>
      </c>
    </row>
    <row r="62" spans="2:21" ht="15.6">
      <c r="B62" s="242"/>
      <c r="C62" s="222" t="s">
        <v>101</v>
      </c>
      <c r="D62" s="221"/>
      <c r="E62" s="243"/>
      <c r="F62" s="243">
        <v>1120</v>
      </c>
      <c r="G62" s="243"/>
      <c r="H62" s="243"/>
      <c r="I62" s="221"/>
      <c r="J62" s="221"/>
      <c r="K62" s="221"/>
      <c r="L62" s="221"/>
      <c r="M62" s="221"/>
      <c r="N62" s="221">
        <v>750</v>
      </c>
      <c r="O62" s="221">
        <v>1900</v>
      </c>
      <c r="P62" s="223">
        <v>1180</v>
      </c>
      <c r="Q62" s="223"/>
      <c r="R62" s="223"/>
      <c r="S62" s="223"/>
      <c r="T62" s="223">
        <f t="shared" si="0"/>
        <v>4950</v>
      </c>
      <c r="U62" s="224">
        <f t="shared" si="2"/>
        <v>35817.899999999994</v>
      </c>
    </row>
    <row r="63" spans="2:21" ht="15.6">
      <c r="B63" s="240"/>
      <c r="C63" s="220" t="s">
        <v>102</v>
      </c>
      <c r="D63" s="225"/>
      <c r="E63" s="241"/>
      <c r="F63" s="241"/>
      <c r="G63" s="241">
        <v>720</v>
      </c>
      <c r="H63" s="241">
        <v>400</v>
      </c>
      <c r="I63" s="225">
        <v>650</v>
      </c>
      <c r="J63" s="225">
        <v>290</v>
      </c>
      <c r="K63" s="225"/>
      <c r="L63" s="225"/>
      <c r="M63" s="225"/>
      <c r="N63" s="225">
        <v>640</v>
      </c>
      <c r="O63" s="225"/>
      <c r="P63" s="239">
        <v>170</v>
      </c>
      <c r="Q63" s="239">
        <v>40</v>
      </c>
      <c r="R63" s="239">
        <v>140</v>
      </c>
      <c r="S63" s="239">
        <v>20</v>
      </c>
      <c r="T63" s="239">
        <f t="shared" si="0"/>
        <v>3070</v>
      </c>
      <c r="U63" s="227">
        <f t="shared" si="2"/>
        <v>38887.899999999994</v>
      </c>
    </row>
    <row r="64" spans="2:21" ht="15.6">
      <c r="B64" s="240"/>
      <c r="C64" s="220" t="s">
        <v>103</v>
      </c>
      <c r="D64" s="225"/>
      <c r="E64" s="241"/>
      <c r="F64" s="241">
        <v>1950</v>
      </c>
      <c r="G64" s="241"/>
      <c r="H64" s="241"/>
      <c r="I64" s="225">
        <v>425</v>
      </c>
      <c r="J64" s="225"/>
      <c r="K64" s="225"/>
      <c r="L64" s="225">
        <v>3540</v>
      </c>
      <c r="M64" s="225"/>
      <c r="N64" s="225"/>
      <c r="O64" s="225"/>
      <c r="P64" s="239"/>
      <c r="Q64" s="239"/>
      <c r="R64" s="239"/>
      <c r="S64" s="239">
        <v>80</v>
      </c>
      <c r="T64" s="239">
        <f t="shared" si="0"/>
        <v>5995</v>
      </c>
      <c r="U64" s="227">
        <f t="shared" si="2"/>
        <v>44882.899999999994</v>
      </c>
    </row>
    <row r="65" spans="2:21" ht="15.6">
      <c r="B65" s="240">
        <v>48</v>
      </c>
      <c r="C65" s="220" t="s">
        <v>104</v>
      </c>
      <c r="D65" s="225"/>
      <c r="E65" s="241"/>
      <c r="F65" s="241">
        <v>2000</v>
      </c>
      <c r="G65" s="241">
        <v>580</v>
      </c>
      <c r="H65" s="241">
        <v>660</v>
      </c>
      <c r="I65" s="239"/>
      <c r="J65" s="225"/>
      <c r="K65" s="225"/>
      <c r="L65" s="239">
        <v>1060</v>
      </c>
      <c r="M65" s="225"/>
      <c r="N65" s="225">
        <v>2770</v>
      </c>
      <c r="O65" s="225">
        <v>1380</v>
      </c>
      <c r="P65" s="239">
        <v>900</v>
      </c>
      <c r="Q65" s="239"/>
      <c r="R65" s="239"/>
      <c r="S65" s="239"/>
      <c r="T65" s="239">
        <f t="shared" si="0"/>
        <v>9350</v>
      </c>
      <c r="U65" s="227">
        <f t="shared" si="2"/>
        <v>54232.899999999994</v>
      </c>
    </row>
    <row r="66" spans="2:21" ht="15.6">
      <c r="B66" s="270"/>
      <c r="C66" s="220" t="s">
        <v>105</v>
      </c>
      <c r="D66" s="225"/>
      <c r="E66" s="241"/>
      <c r="F66" s="241"/>
      <c r="G66" s="241"/>
      <c r="H66" s="241"/>
      <c r="I66" s="239"/>
      <c r="J66" s="225"/>
      <c r="K66" s="225"/>
      <c r="L66" s="225"/>
      <c r="M66" s="225"/>
      <c r="N66" s="225"/>
      <c r="O66" s="225"/>
      <c r="P66" s="239"/>
      <c r="Q66" s="239"/>
      <c r="R66" s="239"/>
      <c r="S66" s="239"/>
      <c r="T66" s="239">
        <f t="shared" si="0"/>
        <v>0</v>
      </c>
      <c r="U66" s="227">
        <f t="shared" si="2"/>
        <v>54232.899999999994</v>
      </c>
    </row>
    <row r="67" spans="2:21" ht="15.6">
      <c r="B67" s="240"/>
      <c r="C67" s="220" t="s">
        <v>106</v>
      </c>
      <c r="D67" s="225"/>
      <c r="E67" s="241"/>
      <c r="F67" s="241"/>
      <c r="G67" s="241"/>
      <c r="H67" s="241"/>
      <c r="I67" s="225"/>
      <c r="J67" s="225"/>
      <c r="K67" s="225"/>
      <c r="L67" s="239"/>
      <c r="M67" s="225"/>
      <c r="N67" s="225"/>
      <c r="O67" s="225"/>
      <c r="P67" s="239"/>
      <c r="Q67" s="239"/>
      <c r="R67" s="239"/>
      <c r="S67" s="239"/>
      <c r="T67" s="239">
        <f t="shared" si="0"/>
        <v>0</v>
      </c>
      <c r="U67" s="227">
        <f t="shared" si="2"/>
        <v>54232.899999999994</v>
      </c>
    </row>
    <row r="68" spans="2:21" ht="16.2" thickBot="1">
      <c r="B68" s="244"/>
      <c r="C68" s="233" t="s">
        <v>107</v>
      </c>
      <c r="D68" s="231"/>
      <c r="E68" s="245"/>
      <c r="F68" s="245"/>
      <c r="G68" s="245"/>
      <c r="H68" s="245"/>
      <c r="I68" s="231"/>
      <c r="J68" s="231"/>
      <c r="K68" s="231"/>
      <c r="L68" s="231"/>
      <c r="M68" s="231"/>
      <c r="N68" s="231"/>
      <c r="O68" s="231"/>
      <c r="P68" s="246"/>
      <c r="Q68" s="246"/>
      <c r="R68" s="246"/>
      <c r="S68" s="246"/>
      <c r="T68" s="246">
        <f t="shared" si="0"/>
        <v>0</v>
      </c>
      <c r="U68" s="235">
        <f t="shared" si="2"/>
        <v>54232.899999999994</v>
      </c>
    </row>
    <row r="69" spans="2:21" ht="15.6">
      <c r="B69" s="242"/>
      <c r="C69" s="222" t="s">
        <v>108</v>
      </c>
      <c r="D69" s="221"/>
      <c r="E69" s="243"/>
      <c r="F69" s="243">
        <v>1874</v>
      </c>
      <c r="G69" s="243"/>
      <c r="H69" s="243">
        <v>2140</v>
      </c>
      <c r="I69" s="221">
        <v>540</v>
      </c>
      <c r="J69" s="221">
        <v>760</v>
      </c>
      <c r="K69" s="221"/>
      <c r="L69" s="221">
        <v>820</v>
      </c>
      <c r="M69" s="221">
        <v>100</v>
      </c>
      <c r="N69" s="221"/>
      <c r="O69" s="221">
        <v>2280</v>
      </c>
      <c r="P69" s="223"/>
      <c r="Q69" s="223"/>
      <c r="R69" s="223"/>
      <c r="S69" s="223">
        <v>16.5</v>
      </c>
      <c r="T69" s="223">
        <f t="shared" ref="T69:T86" si="3">SUM(D69:S69)</f>
        <v>8530.5</v>
      </c>
      <c r="U69" s="224">
        <f t="shared" si="2"/>
        <v>62763.399999999994</v>
      </c>
    </row>
    <row r="70" spans="2:21" ht="15.6">
      <c r="B70" s="240"/>
      <c r="C70" s="220" t="s">
        <v>109</v>
      </c>
      <c r="D70" s="225"/>
      <c r="E70" s="241">
        <v>140</v>
      </c>
      <c r="F70" s="241">
        <v>1830</v>
      </c>
      <c r="G70" s="241"/>
      <c r="H70" s="241"/>
      <c r="I70" s="225">
        <v>3050</v>
      </c>
      <c r="J70" s="225">
        <v>2035</v>
      </c>
      <c r="K70" s="225"/>
      <c r="L70" s="225"/>
      <c r="M70" s="225"/>
      <c r="N70" s="225"/>
      <c r="O70" s="225">
        <v>240</v>
      </c>
      <c r="P70" s="239">
        <v>1750</v>
      </c>
      <c r="Q70" s="239"/>
      <c r="R70" s="239"/>
      <c r="S70" s="239"/>
      <c r="T70" s="239">
        <f t="shared" si="3"/>
        <v>9045</v>
      </c>
      <c r="U70" s="227">
        <f t="shared" si="2"/>
        <v>71808.399999999994</v>
      </c>
    </row>
    <row r="71" spans="2:21" ht="15.6">
      <c r="B71" s="240"/>
      <c r="C71" s="220" t="s">
        <v>110</v>
      </c>
      <c r="D71" s="225">
        <v>1020</v>
      </c>
      <c r="E71" s="241"/>
      <c r="F71" s="241">
        <v>1880</v>
      </c>
      <c r="G71" s="241">
        <v>1525</v>
      </c>
      <c r="H71" s="241"/>
      <c r="I71" s="225">
        <v>1865</v>
      </c>
      <c r="J71" s="225"/>
      <c r="K71" s="225">
        <v>40</v>
      </c>
      <c r="L71" s="225">
        <v>4125</v>
      </c>
      <c r="M71" s="225">
        <v>80</v>
      </c>
      <c r="N71" s="225"/>
      <c r="O71" s="225">
        <v>20</v>
      </c>
      <c r="P71" s="239"/>
      <c r="Q71" s="239"/>
      <c r="R71" s="239"/>
      <c r="S71" s="239"/>
      <c r="T71" s="239">
        <f t="shared" si="3"/>
        <v>10555</v>
      </c>
      <c r="U71" s="227">
        <f t="shared" si="2"/>
        <v>82363.399999999994</v>
      </c>
    </row>
    <row r="72" spans="2:21" ht="15.6">
      <c r="B72" s="240">
        <v>49</v>
      </c>
      <c r="C72" s="220" t="s">
        <v>111</v>
      </c>
      <c r="D72" s="225"/>
      <c r="E72" s="241">
        <v>310</v>
      </c>
      <c r="F72" s="241">
        <v>140</v>
      </c>
      <c r="G72" s="241"/>
      <c r="H72" s="241">
        <v>1585</v>
      </c>
      <c r="I72" s="225">
        <v>1380</v>
      </c>
      <c r="J72" s="225"/>
      <c r="K72" s="225"/>
      <c r="L72" s="225">
        <v>3680</v>
      </c>
      <c r="M72" s="225"/>
      <c r="N72" s="225">
        <v>1870</v>
      </c>
      <c r="O72" s="225"/>
      <c r="P72" s="239">
        <v>200</v>
      </c>
      <c r="Q72" s="239"/>
      <c r="R72" s="239"/>
      <c r="S72" s="239">
        <v>100</v>
      </c>
      <c r="T72" s="239">
        <f t="shared" si="3"/>
        <v>9265</v>
      </c>
      <c r="U72" s="227">
        <f t="shared" ref="U72:U85" si="4">+T72+U71</f>
        <v>91628.4</v>
      </c>
    </row>
    <row r="73" spans="2:21" ht="15.6">
      <c r="B73" s="270"/>
      <c r="C73" s="220" t="s">
        <v>112</v>
      </c>
      <c r="D73" s="225"/>
      <c r="E73" s="241"/>
      <c r="F73" s="241"/>
      <c r="G73" s="241"/>
      <c r="H73" s="241"/>
      <c r="I73" s="225">
        <v>4050</v>
      </c>
      <c r="J73" s="225"/>
      <c r="K73" s="225"/>
      <c r="L73" s="225">
        <v>4720</v>
      </c>
      <c r="M73" s="225"/>
      <c r="N73" s="225">
        <v>1150</v>
      </c>
      <c r="O73" s="225"/>
      <c r="P73" s="239"/>
      <c r="Q73" s="239"/>
      <c r="R73" s="239"/>
      <c r="S73" s="239"/>
      <c r="T73" s="239">
        <f t="shared" si="3"/>
        <v>9920</v>
      </c>
      <c r="U73" s="227">
        <f t="shared" si="4"/>
        <v>101548.4</v>
      </c>
    </row>
    <row r="74" spans="2:21" ht="15.6">
      <c r="B74" s="240"/>
      <c r="C74" s="220" t="s">
        <v>113</v>
      </c>
      <c r="D74" s="225"/>
      <c r="E74" s="241"/>
      <c r="F74" s="241"/>
      <c r="G74" s="241"/>
      <c r="H74" s="241"/>
      <c r="I74" s="225">
        <v>4200</v>
      </c>
      <c r="J74" s="225">
        <v>1760</v>
      </c>
      <c r="K74" s="225"/>
      <c r="L74" s="225">
        <v>895</v>
      </c>
      <c r="M74" s="225"/>
      <c r="N74" s="225">
        <v>1820</v>
      </c>
      <c r="O74" s="225"/>
      <c r="P74" s="226"/>
      <c r="Q74" s="226"/>
      <c r="R74" s="226"/>
      <c r="S74" s="226"/>
      <c r="T74" s="239">
        <f t="shared" si="3"/>
        <v>8675</v>
      </c>
      <c r="U74" s="227">
        <f t="shared" si="4"/>
        <v>110223.4</v>
      </c>
    </row>
    <row r="75" spans="2:21" ht="16.2" thickBot="1">
      <c r="B75" s="244"/>
      <c r="C75" s="233" t="s">
        <v>114</v>
      </c>
      <c r="D75" s="231"/>
      <c r="E75" s="245"/>
      <c r="F75" s="245"/>
      <c r="G75" s="245">
        <f>2460+1100+180</f>
        <v>3740</v>
      </c>
      <c r="H75" s="245"/>
      <c r="I75" s="231">
        <v>840</v>
      </c>
      <c r="J75" s="231">
        <f>2320+2080+480</f>
        <v>4880</v>
      </c>
      <c r="K75" s="231"/>
      <c r="L75" s="231"/>
      <c r="M75" s="231"/>
      <c r="N75" s="231"/>
      <c r="O75" s="231"/>
      <c r="P75" s="234"/>
      <c r="Q75" s="234"/>
      <c r="R75" s="234"/>
      <c r="S75" s="234"/>
      <c r="T75" s="246">
        <f t="shared" si="3"/>
        <v>9460</v>
      </c>
      <c r="U75" s="235">
        <f t="shared" si="4"/>
        <v>119683.4</v>
      </c>
    </row>
    <row r="76" spans="2:21" ht="15.6">
      <c r="B76" s="242"/>
      <c r="C76" s="222" t="s">
        <v>115</v>
      </c>
      <c r="D76" s="225">
        <f>280+260</f>
        <v>540</v>
      </c>
      <c r="E76" s="243"/>
      <c r="F76" s="243"/>
      <c r="G76" s="243">
        <f>1445+740+320+40</f>
        <v>2545</v>
      </c>
      <c r="H76" s="243"/>
      <c r="I76" s="221"/>
      <c r="J76" s="221">
        <v>640</v>
      </c>
      <c r="K76" s="221"/>
      <c r="L76" s="221">
        <v>40</v>
      </c>
      <c r="M76" s="221">
        <v>90</v>
      </c>
      <c r="N76" s="221">
        <f>940+840+100</f>
        <v>1880</v>
      </c>
      <c r="O76" s="221"/>
      <c r="P76" s="228"/>
      <c r="Q76" s="228"/>
      <c r="R76" s="228"/>
      <c r="S76" s="228"/>
      <c r="T76" s="223">
        <f t="shared" si="3"/>
        <v>5735</v>
      </c>
      <c r="U76" s="224">
        <f t="shared" si="4"/>
        <v>125418.4</v>
      </c>
    </row>
    <row r="77" spans="2:21" ht="15.6">
      <c r="B77" s="240"/>
      <c r="C77" s="220" t="s">
        <v>116</v>
      </c>
      <c r="D77" s="225">
        <f>9170+9460</f>
        <v>18630</v>
      </c>
      <c r="E77" s="241">
        <v>485</v>
      </c>
      <c r="F77" s="241"/>
      <c r="G77" s="241"/>
      <c r="H77" s="241"/>
      <c r="I77" s="225"/>
      <c r="J77" s="225"/>
      <c r="K77" s="225"/>
      <c r="L77" s="225"/>
      <c r="M77" s="225"/>
      <c r="N77" s="225"/>
      <c r="O77" s="225"/>
      <c r="P77" s="226"/>
      <c r="Q77" s="226"/>
      <c r="R77" s="226"/>
      <c r="S77" s="226"/>
      <c r="T77" s="239">
        <f t="shared" si="3"/>
        <v>19115</v>
      </c>
      <c r="U77" s="227">
        <f t="shared" si="4"/>
        <v>144533.4</v>
      </c>
    </row>
    <row r="78" spans="2:21" ht="15.6">
      <c r="B78" s="240"/>
      <c r="C78" s="220" t="s">
        <v>117</v>
      </c>
      <c r="D78" s="225">
        <f>7620+6260</f>
        <v>13880</v>
      </c>
      <c r="E78" s="241">
        <v>360</v>
      </c>
      <c r="F78" s="241"/>
      <c r="G78" s="241"/>
      <c r="H78" s="241"/>
      <c r="I78" s="225"/>
      <c r="J78" s="225"/>
      <c r="K78" s="225"/>
      <c r="L78" s="225"/>
      <c r="M78" s="225"/>
      <c r="N78" s="225"/>
      <c r="O78" s="225"/>
      <c r="P78" s="226"/>
      <c r="Q78" s="226"/>
      <c r="R78" s="226"/>
      <c r="S78" s="226"/>
      <c r="T78" s="239">
        <f t="shared" si="3"/>
        <v>14240</v>
      </c>
      <c r="U78" s="227">
        <f t="shared" si="4"/>
        <v>158773.4</v>
      </c>
    </row>
    <row r="79" spans="2:21" ht="15.6">
      <c r="B79" s="240">
        <v>50</v>
      </c>
      <c r="C79" s="220" t="s">
        <v>118</v>
      </c>
      <c r="D79" s="225">
        <f>6520+6940</f>
        <v>13460</v>
      </c>
      <c r="E79" s="241">
        <v>100</v>
      </c>
      <c r="F79" s="241"/>
      <c r="G79" s="241"/>
      <c r="H79" s="241"/>
      <c r="I79" s="225"/>
      <c r="J79" s="225"/>
      <c r="K79" s="225"/>
      <c r="L79" s="225"/>
      <c r="M79" s="225"/>
      <c r="N79" s="225"/>
      <c r="O79" s="225"/>
      <c r="P79" s="226"/>
      <c r="Q79" s="226"/>
      <c r="R79" s="226"/>
      <c r="S79" s="226"/>
      <c r="T79" s="239">
        <f t="shared" si="3"/>
        <v>13560</v>
      </c>
      <c r="U79" s="227">
        <f t="shared" si="4"/>
        <v>172333.4</v>
      </c>
    </row>
    <row r="80" spans="2:21" ht="15.6">
      <c r="B80" s="270"/>
      <c r="C80" s="220" t="s">
        <v>119</v>
      </c>
      <c r="D80" s="225">
        <f>5570+7180</f>
        <v>12750</v>
      </c>
      <c r="E80" s="241">
        <v>260</v>
      </c>
      <c r="F80" s="241"/>
      <c r="G80" s="241"/>
      <c r="H80" s="241"/>
      <c r="I80" s="225"/>
      <c r="J80" s="225"/>
      <c r="K80" s="225"/>
      <c r="L80" s="225"/>
      <c r="M80" s="225"/>
      <c r="N80" s="225"/>
      <c r="O80" s="225"/>
      <c r="P80" s="226"/>
      <c r="Q80" s="226"/>
      <c r="R80" s="226"/>
      <c r="S80" s="226"/>
      <c r="T80" s="239">
        <f t="shared" si="3"/>
        <v>13010</v>
      </c>
      <c r="U80" s="227">
        <f t="shared" si="4"/>
        <v>185343.4</v>
      </c>
    </row>
    <row r="81" spans="2:21" ht="15.6">
      <c r="B81" s="240"/>
      <c r="C81" s="220" t="s">
        <v>120</v>
      </c>
      <c r="D81" s="225">
        <f>3420+5520+1880</f>
        <v>10820</v>
      </c>
      <c r="E81" s="241">
        <f>60+80</f>
        <v>140</v>
      </c>
      <c r="F81" s="241"/>
      <c r="G81" s="241"/>
      <c r="H81" s="241"/>
      <c r="I81" s="225"/>
      <c r="J81" s="225"/>
      <c r="K81" s="225"/>
      <c r="L81" s="225"/>
      <c r="M81" s="225"/>
      <c r="N81" s="225"/>
      <c r="O81" s="225"/>
      <c r="P81" s="226"/>
      <c r="Q81" s="226"/>
      <c r="R81" s="226"/>
      <c r="S81" s="226"/>
      <c r="T81" s="239">
        <f t="shared" si="3"/>
        <v>10960</v>
      </c>
      <c r="U81" s="227">
        <f t="shared" si="4"/>
        <v>196303.4</v>
      </c>
    </row>
    <row r="82" spans="2:21" ht="16.2" thickBot="1">
      <c r="B82" s="247"/>
      <c r="C82" s="248" t="s">
        <v>121</v>
      </c>
      <c r="D82" s="249">
        <v>0</v>
      </c>
      <c r="E82" s="250"/>
      <c r="F82" s="250"/>
      <c r="G82" s="250"/>
      <c r="H82" s="250"/>
      <c r="I82" s="249"/>
      <c r="J82" s="249"/>
      <c r="K82" s="249"/>
      <c r="L82" s="249"/>
      <c r="M82" s="249"/>
      <c r="N82" s="249"/>
      <c r="O82" s="249"/>
      <c r="P82" s="251"/>
      <c r="Q82" s="251"/>
      <c r="R82" s="251"/>
      <c r="S82" s="251"/>
      <c r="T82" s="252">
        <f t="shared" si="3"/>
        <v>0</v>
      </c>
      <c r="U82" s="253">
        <f t="shared" si="4"/>
        <v>196303.4</v>
      </c>
    </row>
    <row r="83" spans="2:21" ht="15.6">
      <c r="B83" s="261"/>
      <c r="C83" s="262" t="s">
        <v>122</v>
      </c>
      <c r="D83" s="256">
        <f>4360+4810</f>
        <v>9170</v>
      </c>
      <c r="E83" s="257">
        <v>140</v>
      </c>
      <c r="F83" s="257"/>
      <c r="G83" s="257"/>
      <c r="H83" s="257"/>
      <c r="I83" s="256"/>
      <c r="J83" s="256"/>
      <c r="K83" s="256"/>
      <c r="L83" s="256"/>
      <c r="M83" s="256"/>
      <c r="N83" s="256"/>
      <c r="O83" s="256"/>
      <c r="P83" s="258"/>
      <c r="Q83" s="258"/>
      <c r="R83" s="258"/>
      <c r="S83" s="258"/>
      <c r="T83" s="259">
        <f t="shared" si="3"/>
        <v>9310</v>
      </c>
      <c r="U83" s="260">
        <f t="shared" si="4"/>
        <v>205613.4</v>
      </c>
    </row>
    <row r="84" spans="2:21" ht="15.6">
      <c r="B84" s="261"/>
      <c r="C84" s="262" t="s">
        <v>123</v>
      </c>
      <c r="D84" s="263">
        <v>0</v>
      </c>
      <c r="E84" s="264">
        <v>60</v>
      </c>
      <c r="F84" s="264"/>
      <c r="G84" s="264"/>
      <c r="H84" s="264"/>
      <c r="I84" s="263"/>
      <c r="J84" s="263"/>
      <c r="K84" s="263"/>
      <c r="L84" s="263"/>
      <c r="M84" s="263"/>
      <c r="N84" s="263"/>
      <c r="O84" s="263"/>
      <c r="P84" s="265"/>
      <c r="Q84" s="265"/>
      <c r="R84" s="265"/>
      <c r="S84" s="265"/>
      <c r="T84" s="266">
        <f t="shared" si="3"/>
        <v>60</v>
      </c>
      <c r="U84" s="267">
        <f t="shared" si="4"/>
        <v>205673.4</v>
      </c>
    </row>
    <row r="85" spans="2:21" ht="15.6">
      <c r="B85" s="261"/>
      <c r="C85" s="262" t="s">
        <v>124</v>
      </c>
      <c r="D85" s="263">
        <v>0</v>
      </c>
      <c r="E85" s="264" t="s">
        <v>135</v>
      </c>
      <c r="F85" s="264"/>
      <c r="G85" s="264"/>
      <c r="H85" s="264"/>
      <c r="I85" s="263"/>
      <c r="J85" s="263"/>
      <c r="K85" s="263"/>
      <c r="L85" s="263"/>
      <c r="M85" s="263"/>
      <c r="N85" s="263"/>
      <c r="O85" s="263"/>
      <c r="P85" s="265"/>
      <c r="Q85" s="265"/>
      <c r="R85" s="265"/>
      <c r="S85" s="265"/>
      <c r="T85" s="266">
        <f t="shared" si="3"/>
        <v>0</v>
      </c>
      <c r="U85" s="267">
        <f t="shared" si="4"/>
        <v>205673.4</v>
      </c>
    </row>
    <row r="86" spans="2:21" ht="15.6">
      <c r="B86" s="261">
        <v>51</v>
      </c>
      <c r="C86" s="262" t="s">
        <v>125</v>
      </c>
      <c r="D86" s="263">
        <v>0</v>
      </c>
      <c r="E86" s="264"/>
      <c r="F86" s="264"/>
      <c r="G86" s="264"/>
      <c r="H86" s="264"/>
      <c r="I86" s="263"/>
      <c r="J86" s="263"/>
      <c r="K86" s="263"/>
      <c r="L86" s="263"/>
      <c r="M86" s="263"/>
      <c r="N86" s="263"/>
      <c r="O86" s="263"/>
      <c r="P86" s="265"/>
      <c r="Q86" s="265"/>
      <c r="R86" s="265"/>
      <c r="S86" s="265"/>
      <c r="T86" s="266">
        <f t="shared" si="3"/>
        <v>0</v>
      </c>
      <c r="U86" s="267"/>
    </row>
    <row r="87" spans="2:21" ht="15.6">
      <c r="B87" s="271"/>
      <c r="C87" s="262" t="s">
        <v>126</v>
      </c>
      <c r="D87" s="263">
        <f t="shared" ref="D87:S91" si="5">+D196*D$110</f>
        <v>0</v>
      </c>
      <c r="E87" s="264"/>
      <c r="F87" s="264"/>
      <c r="G87" s="264"/>
      <c r="H87" s="264"/>
      <c r="I87" s="263"/>
      <c r="J87" s="263"/>
      <c r="K87" s="263"/>
      <c r="L87" s="263"/>
      <c r="M87" s="263"/>
      <c r="N87" s="263"/>
      <c r="O87" s="263"/>
      <c r="P87" s="265"/>
      <c r="Q87" s="265"/>
      <c r="R87" s="265"/>
      <c r="S87" s="265"/>
      <c r="T87" s="266"/>
      <c r="U87" s="267"/>
    </row>
    <row r="88" spans="2:21" ht="15.6">
      <c r="B88" s="116"/>
      <c r="C88" s="262" t="s">
        <v>127</v>
      </c>
      <c r="D88" s="181">
        <f t="shared" si="5"/>
        <v>0</v>
      </c>
      <c r="E88" s="141"/>
      <c r="F88" s="141"/>
      <c r="G88" s="141"/>
      <c r="H88" s="141"/>
      <c r="I88" s="181"/>
      <c r="J88" s="181"/>
      <c r="K88" s="181"/>
      <c r="L88" s="181"/>
      <c r="M88" s="181"/>
      <c r="N88" s="181"/>
      <c r="O88" s="181"/>
      <c r="P88" s="183"/>
      <c r="Q88" s="183"/>
      <c r="R88" s="183"/>
      <c r="S88" s="183"/>
      <c r="T88" s="182"/>
      <c r="U88" s="119"/>
    </row>
    <row r="89" spans="2:21" ht="16.2" thickBot="1">
      <c r="B89" s="116"/>
      <c r="C89" s="117" t="s">
        <v>128</v>
      </c>
      <c r="D89" s="184">
        <f t="shared" si="5"/>
        <v>0</v>
      </c>
      <c r="E89" s="185"/>
      <c r="F89" s="185"/>
      <c r="G89" s="185"/>
      <c r="H89" s="185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6"/>
      <c r="T89" s="268"/>
      <c r="U89" s="123"/>
    </row>
    <row r="90" spans="2:21" ht="15.6">
      <c r="B90" s="174"/>
      <c r="C90" s="117" t="s">
        <v>129</v>
      </c>
      <c r="D90" s="269">
        <f t="shared" si="5"/>
        <v>0</v>
      </c>
      <c r="E90" s="269"/>
      <c r="F90" s="269"/>
      <c r="G90" s="269"/>
      <c r="H90" s="269"/>
      <c r="I90" s="269"/>
      <c r="J90" s="269"/>
      <c r="K90" s="269"/>
      <c r="L90" s="269"/>
      <c r="M90" s="269"/>
      <c r="N90" s="269"/>
      <c r="O90" s="269"/>
      <c r="P90" s="269"/>
      <c r="Q90" s="269"/>
      <c r="R90" s="269"/>
      <c r="S90" s="269">
        <f t="shared" si="5"/>
        <v>0</v>
      </c>
      <c r="T90" s="269"/>
      <c r="U90" s="43"/>
    </row>
    <row r="91" spans="2:21" ht="16.2" thickBot="1">
      <c r="B91" s="44" t="str">
        <f t="shared" ref="B6:B92" si="6">IF($A91=0," ",$A91)</f>
        <v xml:space="preserve"> </v>
      </c>
      <c r="C91" s="45" t="str">
        <f t="shared" ref="C84:C92" si="7">+$B91</f>
        <v xml:space="preserve"> </v>
      </c>
      <c r="D91" s="73">
        <f t="shared" si="5"/>
        <v>0</v>
      </c>
      <c r="E91" s="45">
        <f t="shared" si="5"/>
        <v>0</v>
      </c>
      <c r="F91" s="45">
        <f t="shared" si="5"/>
        <v>0</v>
      </c>
      <c r="G91" s="45">
        <f t="shared" si="5"/>
        <v>0</v>
      </c>
      <c r="H91" s="45">
        <f t="shared" si="5"/>
        <v>0</v>
      </c>
      <c r="I91" s="45">
        <f t="shared" si="5"/>
        <v>0</v>
      </c>
      <c r="J91" s="45">
        <f t="shared" si="5"/>
        <v>0</v>
      </c>
      <c r="K91" s="45">
        <f t="shared" si="5"/>
        <v>0</v>
      </c>
      <c r="L91" s="45">
        <f t="shared" si="5"/>
        <v>0</v>
      </c>
      <c r="M91" s="45">
        <f t="shared" si="5"/>
        <v>0</v>
      </c>
      <c r="N91" s="45">
        <f t="shared" si="5"/>
        <v>0</v>
      </c>
      <c r="O91" s="45">
        <f t="shared" si="5"/>
        <v>0</v>
      </c>
      <c r="P91" s="45"/>
      <c r="Q91" s="45"/>
      <c r="R91" s="45"/>
      <c r="S91" s="45">
        <f t="shared" si="5"/>
        <v>0</v>
      </c>
      <c r="T91" s="45"/>
      <c r="U91" s="48"/>
    </row>
    <row r="92" spans="2:21" ht="15.6">
      <c r="B92" s="40" t="str">
        <f t="shared" si="6"/>
        <v xml:space="preserve"> </v>
      </c>
      <c r="C92" s="41" t="str">
        <f t="shared" si="7"/>
        <v xml:space="preserve"> </v>
      </c>
      <c r="D92" s="269">
        <v>7</v>
      </c>
      <c r="E92" s="269">
        <v>8</v>
      </c>
      <c r="F92" s="269">
        <v>9</v>
      </c>
      <c r="G92" s="269">
        <v>10</v>
      </c>
      <c r="H92" s="269">
        <v>11</v>
      </c>
      <c r="I92" s="269">
        <v>12</v>
      </c>
      <c r="J92" s="269">
        <v>13</v>
      </c>
      <c r="K92" s="269">
        <v>14</v>
      </c>
      <c r="L92" s="269">
        <v>15</v>
      </c>
      <c r="M92" s="269">
        <v>16</v>
      </c>
      <c r="N92" s="269">
        <v>17</v>
      </c>
      <c r="O92" s="269">
        <v>18</v>
      </c>
      <c r="P92" s="269">
        <v>19</v>
      </c>
      <c r="Q92" s="269">
        <v>22</v>
      </c>
      <c r="R92" s="269">
        <v>23</v>
      </c>
      <c r="S92" s="269">
        <v>34</v>
      </c>
      <c r="T92" s="269"/>
      <c r="U92" s="43"/>
    </row>
    <row r="93" spans="2:21" ht="15.6">
      <c r="B93" s="44"/>
      <c r="C93" s="45" t="s">
        <v>4</v>
      </c>
      <c r="D93" s="73">
        <f>SUM(D5:D90)</f>
        <v>82748.899999999994</v>
      </c>
      <c r="E93" s="73">
        <f t="shared" ref="E93:S93" si="8">SUM(E5:E90)</f>
        <v>2065</v>
      </c>
      <c r="F93" s="73">
        <f t="shared" si="8"/>
        <v>11214</v>
      </c>
      <c r="G93" s="73">
        <f t="shared" si="8"/>
        <v>16636.5</v>
      </c>
      <c r="H93" s="73">
        <f t="shared" si="8"/>
        <v>4915</v>
      </c>
      <c r="I93" s="73">
        <f t="shared" si="8"/>
        <v>17750</v>
      </c>
      <c r="J93" s="73">
        <f t="shared" si="8"/>
        <v>10365</v>
      </c>
      <c r="K93" s="73">
        <f t="shared" si="8"/>
        <v>1262.7</v>
      </c>
      <c r="L93" s="73">
        <f t="shared" si="8"/>
        <v>18880</v>
      </c>
      <c r="M93" s="73">
        <f t="shared" si="8"/>
        <v>1389.8</v>
      </c>
      <c r="N93" s="73">
        <f t="shared" si="8"/>
        <v>23743.599999999999</v>
      </c>
      <c r="O93" s="73">
        <f t="shared" si="8"/>
        <v>6195</v>
      </c>
      <c r="P93" s="73">
        <f t="shared" si="8"/>
        <v>7626.4</v>
      </c>
      <c r="Q93" s="73">
        <f t="shared" si="8"/>
        <v>180</v>
      </c>
      <c r="R93" s="73">
        <f t="shared" si="8"/>
        <v>285</v>
      </c>
      <c r="S93" s="73">
        <f t="shared" si="8"/>
        <v>416.5</v>
      </c>
      <c r="T93" s="266">
        <f t="shared" ref="T93" si="9">SUM(D93:S93)</f>
        <v>205673.4</v>
      </c>
      <c r="U93" s="48"/>
    </row>
    <row r="94" spans="2:21" ht="15.6">
      <c r="B94" s="49"/>
      <c r="C94" s="50" t="s">
        <v>5</v>
      </c>
      <c r="D94" s="50">
        <v>2132</v>
      </c>
      <c r="E94" s="50">
        <v>514</v>
      </c>
      <c r="F94" s="50">
        <v>383</v>
      </c>
      <c r="G94" s="50">
        <v>1024</v>
      </c>
      <c r="H94" s="50">
        <v>434</v>
      </c>
      <c r="I94" s="50">
        <v>1064</v>
      </c>
      <c r="J94" s="50">
        <v>720</v>
      </c>
      <c r="K94" s="50">
        <v>1064</v>
      </c>
      <c r="L94" s="50">
        <v>944</v>
      </c>
      <c r="M94" s="50">
        <v>1064</v>
      </c>
      <c r="N94" s="50">
        <v>1168</v>
      </c>
      <c r="O94" s="50">
        <v>770</v>
      </c>
      <c r="P94" s="50">
        <v>716</v>
      </c>
      <c r="Q94" s="50">
        <v>210</v>
      </c>
      <c r="R94" s="50">
        <v>310</v>
      </c>
      <c r="S94" s="50">
        <v>210</v>
      </c>
      <c r="T94" s="45">
        <f>SUM(D94:S94)</f>
        <v>12727</v>
      </c>
      <c r="U94" s="51"/>
    </row>
    <row r="95" spans="2:21" ht="15.6">
      <c r="B95" s="52"/>
      <c r="C95" s="53" t="s">
        <v>6</v>
      </c>
      <c r="D95" s="74">
        <f t="shared" ref="D95:S95" si="10">D93/D94</f>
        <v>38.81280487804878</v>
      </c>
      <c r="E95" s="74">
        <f t="shared" si="10"/>
        <v>4.0175097276264591</v>
      </c>
      <c r="F95" s="74">
        <f t="shared" si="10"/>
        <v>29.279373368146214</v>
      </c>
      <c r="G95" s="74">
        <f t="shared" si="10"/>
        <v>16.24658203125</v>
      </c>
      <c r="H95" s="74">
        <f t="shared" si="10"/>
        <v>11.324884792626728</v>
      </c>
      <c r="I95" s="74">
        <f t="shared" si="10"/>
        <v>16.68233082706767</v>
      </c>
      <c r="J95" s="74">
        <f t="shared" si="10"/>
        <v>14.395833333333334</v>
      </c>
      <c r="K95" s="74">
        <f t="shared" si="10"/>
        <v>1.1867481203007519</v>
      </c>
      <c r="L95" s="74">
        <f t="shared" si="10"/>
        <v>20</v>
      </c>
      <c r="M95" s="74">
        <f t="shared" si="10"/>
        <v>1.3062030075187969</v>
      </c>
      <c r="N95" s="74">
        <f t="shared" si="10"/>
        <v>20.328424657534246</v>
      </c>
      <c r="O95" s="74">
        <f t="shared" si="10"/>
        <v>8.045454545454545</v>
      </c>
      <c r="P95" s="74">
        <f t="shared" si="10"/>
        <v>10.651396648044692</v>
      </c>
      <c r="Q95" s="74"/>
      <c r="R95" s="74"/>
      <c r="S95" s="74">
        <f t="shared" si="10"/>
        <v>1.9833333333333334</v>
      </c>
      <c r="T95" s="74">
        <f>T93/T94</f>
        <v>16.160399151410388</v>
      </c>
      <c r="U95" s="5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E6B4-CAB6-4C75-BEB4-45FAD0F6E4A9}">
  <dimension ref="B3:R95"/>
  <sheetViews>
    <sheetView tabSelected="1" workbookViewId="0">
      <selection activeCell="C5" sqref="C5"/>
    </sheetView>
  </sheetViews>
  <sheetFormatPr defaultRowHeight="14.4"/>
  <sheetData>
    <row r="3" spans="2:18" ht="16.2" thickBot="1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4"/>
    </row>
    <row r="4" spans="2:18" ht="16.2" thickBot="1">
      <c r="B4" s="77"/>
      <c r="C4" s="64">
        <v>2020</v>
      </c>
      <c r="D4" s="8">
        <v>7</v>
      </c>
      <c r="E4" s="8">
        <v>8</v>
      </c>
      <c r="F4" s="8">
        <v>9</v>
      </c>
      <c r="G4" s="8">
        <v>10</v>
      </c>
      <c r="H4" s="8">
        <v>11</v>
      </c>
      <c r="I4" s="8">
        <v>12</v>
      </c>
      <c r="J4" s="8">
        <v>13</v>
      </c>
      <c r="K4" s="8">
        <v>14</v>
      </c>
      <c r="L4" s="8">
        <v>15</v>
      </c>
      <c r="M4" s="8">
        <v>16</v>
      </c>
      <c r="N4" s="8">
        <v>17</v>
      </c>
      <c r="O4" s="8">
        <v>18</v>
      </c>
      <c r="P4" s="8">
        <v>19</v>
      </c>
      <c r="Q4" s="8" t="s">
        <v>2</v>
      </c>
      <c r="R4" s="9" t="s">
        <v>3</v>
      </c>
    </row>
    <row r="5" spans="2:18" ht="15.6">
      <c r="B5" s="298">
        <v>38</v>
      </c>
      <c r="C5" s="275" t="s">
        <v>33</v>
      </c>
      <c r="D5" s="274">
        <f>+D114*D$110</f>
        <v>0</v>
      </c>
      <c r="E5" s="274">
        <f t="shared" ref="E5:P5" si="0">+E114*E$110</f>
        <v>0</v>
      </c>
      <c r="F5" s="274">
        <f t="shared" si="0"/>
        <v>0</v>
      </c>
      <c r="G5" s="274">
        <f t="shared" si="0"/>
        <v>0</v>
      </c>
      <c r="H5" s="274">
        <f t="shared" si="0"/>
        <v>0</v>
      </c>
      <c r="I5" s="274">
        <f t="shared" si="0"/>
        <v>0</v>
      </c>
      <c r="J5" s="275">
        <f t="shared" si="0"/>
        <v>0</v>
      </c>
      <c r="K5" s="274">
        <v>30</v>
      </c>
      <c r="L5" s="275">
        <f t="shared" si="0"/>
        <v>0</v>
      </c>
      <c r="M5" s="274">
        <v>220</v>
      </c>
      <c r="N5" s="275">
        <f t="shared" si="0"/>
        <v>0</v>
      </c>
      <c r="O5" s="274">
        <f t="shared" si="0"/>
        <v>0</v>
      </c>
      <c r="P5" s="276">
        <f t="shared" si="0"/>
        <v>0</v>
      </c>
      <c r="Q5" s="277">
        <f t="shared" ref="Q5:Q68" si="1">SUM(D5:P5)</f>
        <v>250</v>
      </c>
      <c r="R5" s="278">
        <f>Q5</f>
        <v>250</v>
      </c>
    </row>
    <row r="6" spans="2:18" ht="16.2" thickBot="1">
      <c r="B6" s="296">
        <v>39</v>
      </c>
      <c r="C6" s="273" t="s">
        <v>39</v>
      </c>
      <c r="D6" s="279">
        <f t="shared" ref="D6:P21" si="2">+D115*D$110</f>
        <v>0</v>
      </c>
      <c r="E6" s="279">
        <f t="shared" si="2"/>
        <v>0</v>
      </c>
      <c r="F6" s="279">
        <f t="shared" si="2"/>
        <v>0</v>
      </c>
      <c r="G6" s="279">
        <f t="shared" si="2"/>
        <v>0</v>
      </c>
      <c r="H6" s="279">
        <f t="shared" si="2"/>
        <v>0</v>
      </c>
      <c r="I6" s="279">
        <f t="shared" si="2"/>
        <v>0</v>
      </c>
      <c r="J6" s="273">
        <f t="shared" si="2"/>
        <v>0</v>
      </c>
      <c r="K6" s="279">
        <v>170</v>
      </c>
      <c r="L6" s="273">
        <f t="shared" si="2"/>
        <v>0</v>
      </c>
      <c r="M6" s="279">
        <v>340</v>
      </c>
      <c r="N6" s="273">
        <f t="shared" si="2"/>
        <v>0</v>
      </c>
      <c r="O6" s="279">
        <f t="shared" si="2"/>
        <v>0</v>
      </c>
      <c r="P6" s="280">
        <f t="shared" si="2"/>
        <v>0</v>
      </c>
      <c r="Q6" s="281">
        <f t="shared" si="1"/>
        <v>510</v>
      </c>
      <c r="R6" s="282">
        <f t="shared" ref="R6" si="3">+Q6+R5</f>
        <v>760</v>
      </c>
    </row>
    <row r="7" spans="2:18" ht="15.6">
      <c r="B7" s="298"/>
      <c r="C7" s="275" t="s">
        <v>45</v>
      </c>
      <c r="D7" s="274">
        <f t="shared" si="2"/>
        <v>0</v>
      </c>
      <c r="E7" s="274">
        <f t="shared" si="2"/>
        <v>0</v>
      </c>
      <c r="F7" s="274">
        <f t="shared" si="2"/>
        <v>0</v>
      </c>
      <c r="G7" s="274">
        <f t="shared" si="2"/>
        <v>0</v>
      </c>
      <c r="H7" s="274">
        <f t="shared" si="2"/>
        <v>0</v>
      </c>
      <c r="I7" s="274">
        <f t="shared" si="2"/>
        <v>0</v>
      </c>
      <c r="J7" s="275">
        <f t="shared" si="2"/>
        <v>0</v>
      </c>
      <c r="K7" s="274">
        <v>270</v>
      </c>
      <c r="L7" s="275">
        <f t="shared" si="2"/>
        <v>0</v>
      </c>
      <c r="M7" s="274">
        <v>660</v>
      </c>
      <c r="N7" s="275">
        <f t="shared" si="2"/>
        <v>0</v>
      </c>
      <c r="O7" s="274">
        <f t="shared" si="2"/>
        <v>0</v>
      </c>
      <c r="P7" s="276">
        <f t="shared" si="2"/>
        <v>0</v>
      </c>
      <c r="Q7" s="283">
        <f t="shared" si="1"/>
        <v>930</v>
      </c>
      <c r="R7" s="278">
        <f>+Q7+R6</f>
        <v>1690</v>
      </c>
    </row>
    <row r="8" spans="2:18" ht="15.6">
      <c r="B8" s="296"/>
      <c r="C8" s="273" t="s">
        <v>140</v>
      </c>
      <c r="D8" s="279">
        <f t="shared" si="2"/>
        <v>0</v>
      </c>
      <c r="E8" s="279">
        <f t="shared" si="2"/>
        <v>0</v>
      </c>
      <c r="F8" s="279">
        <f t="shared" si="2"/>
        <v>0</v>
      </c>
      <c r="G8" s="279">
        <f t="shared" si="2"/>
        <v>0</v>
      </c>
      <c r="H8" s="279">
        <f t="shared" si="2"/>
        <v>0</v>
      </c>
      <c r="I8" s="279">
        <f t="shared" si="2"/>
        <v>0</v>
      </c>
      <c r="J8" s="273">
        <f t="shared" si="2"/>
        <v>0</v>
      </c>
      <c r="K8" s="279">
        <f t="shared" si="2"/>
        <v>0</v>
      </c>
      <c r="L8" s="273">
        <f t="shared" si="2"/>
        <v>0</v>
      </c>
      <c r="M8" s="279">
        <f t="shared" si="2"/>
        <v>0</v>
      </c>
      <c r="N8" s="273">
        <f t="shared" si="2"/>
        <v>0</v>
      </c>
      <c r="O8" s="279">
        <f t="shared" si="2"/>
        <v>0</v>
      </c>
      <c r="P8" s="280">
        <f t="shared" si="2"/>
        <v>0</v>
      </c>
      <c r="Q8" s="281">
        <f t="shared" si="1"/>
        <v>0</v>
      </c>
      <c r="R8" s="282">
        <f t="shared" ref="R8:R71" si="4">+Q8+R7</f>
        <v>1690</v>
      </c>
    </row>
    <row r="9" spans="2:18" ht="15.6">
      <c r="B9" s="296"/>
      <c r="C9" s="273" t="s">
        <v>133</v>
      </c>
      <c r="D9" s="279">
        <f t="shared" si="2"/>
        <v>0</v>
      </c>
      <c r="E9" s="279">
        <f t="shared" si="2"/>
        <v>0</v>
      </c>
      <c r="F9" s="279">
        <f t="shared" si="2"/>
        <v>0</v>
      </c>
      <c r="G9" s="279">
        <f t="shared" si="2"/>
        <v>0</v>
      </c>
      <c r="H9" s="279">
        <f t="shared" si="2"/>
        <v>0</v>
      </c>
      <c r="I9" s="279">
        <f t="shared" si="2"/>
        <v>0</v>
      </c>
      <c r="J9" s="273">
        <f t="shared" si="2"/>
        <v>0</v>
      </c>
      <c r="K9" s="279">
        <v>10</v>
      </c>
      <c r="L9" s="273">
        <f t="shared" si="2"/>
        <v>0</v>
      </c>
      <c r="M9" s="279">
        <v>450</v>
      </c>
      <c r="N9" s="273">
        <f t="shared" si="2"/>
        <v>0</v>
      </c>
      <c r="O9" s="279">
        <f t="shared" si="2"/>
        <v>0</v>
      </c>
      <c r="P9" s="280">
        <f t="shared" si="2"/>
        <v>0</v>
      </c>
      <c r="Q9" s="281">
        <f t="shared" si="1"/>
        <v>460</v>
      </c>
      <c r="R9" s="282">
        <f t="shared" si="4"/>
        <v>2150</v>
      </c>
    </row>
    <row r="10" spans="2:18" ht="15.6">
      <c r="B10" s="296">
        <v>40</v>
      </c>
      <c r="C10" s="273" t="s">
        <v>49</v>
      </c>
      <c r="D10" s="279">
        <f t="shared" si="2"/>
        <v>0</v>
      </c>
      <c r="E10" s="279">
        <f t="shared" si="2"/>
        <v>0</v>
      </c>
      <c r="F10" s="279">
        <f t="shared" si="2"/>
        <v>0</v>
      </c>
      <c r="G10" s="279">
        <f t="shared" si="2"/>
        <v>0</v>
      </c>
      <c r="H10" s="279">
        <f t="shared" si="2"/>
        <v>0</v>
      </c>
      <c r="I10" s="279">
        <f t="shared" si="2"/>
        <v>0</v>
      </c>
      <c r="J10" s="273">
        <f t="shared" si="2"/>
        <v>0</v>
      </c>
      <c r="K10" s="279">
        <v>0</v>
      </c>
      <c r="L10" s="273">
        <f t="shared" si="2"/>
        <v>0</v>
      </c>
      <c r="M10" s="279">
        <v>0</v>
      </c>
      <c r="N10" s="273">
        <f t="shared" si="2"/>
        <v>0</v>
      </c>
      <c r="O10" s="279">
        <f t="shared" si="2"/>
        <v>0</v>
      </c>
      <c r="P10" s="280">
        <f t="shared" si="2"/>
        <v>0</v>
      </c>
      <c r="Q10" s="281">
        <f t="shared" si="1"/>
        <v>0</v>
      </c>
      <c r="R10" s="282">
        <f t="shared" si="4"/>
        <v>2150</v>
      </c>
    </row>
    <row r="11" spans="2:18" ht="15.6">
      <c r="B11" s="296"/>
      <c r="C11" s="273" t="s">
        <v>50</v>
      </c>
      <c r="D11" s="279">
        <f t="shared" si="2"/>
        <v>0</v>
      </c>
      <c r="E11" s="279">
        <f t="shared" si="2"/>
        <v>0</v>
      </c>
      <c r="F11" s="279">
        <f t="shared" si="2"/>
        <v>0</v>
      </c>
      <c r="G11" s="279">
        <f t="shared" si="2"/>
        <v>0</v>
      </c>
      <c r="H11" s="279">
        <f t="shared" si="2"/>
        <v>0</v>
      </c>
      <c r="I11" s="279">
        <f t="shared" si="2"/>
        <v>0</v>
      </c>
      <c r="J11" s="273">
        <f t="shared" si="2"/>
        <v>0</v>
      </c>
      <c r="K11" s="279">
        <v>0</v>
      </c>
      <c r="L11" s="273">
        <f t="shared" si="2"/>
        <v>0</v>
      </c>
      <c r="M11" s="279">
        <v>0</v>
      </c>
      <c r="N11" s="273">
        <f t="shared" si="2"/>
        <v>0</v>
      </c>
      <c r="O11" s="279">
        <f t="shared" si="2"/>
        <v>0</v>
      </c>
      <c r="P11" s="280">
        <f t="shared" si="2"/>
        <v>0</v>
      </c>
      <c r="Q11" s="281">
        <f t="shared" si="1"/>
        <v>0</v>
      </c>
      <c r="R11" s="282">
        <f t="shared" si="4"/>
        <v>2150</v>
      </c>
    </row>
    <row r="12" spans="2:18" ht="16.2" thickBot="1">
      <c r="B12" s="296"/>
      <c r="C12" s="273" t="s">
        <v>51</v>
      </c>
      <c r="D12" s="279">
        <f t="shared" si="2"/>
        <v>0</v>
      </c>
      <c r="E12" s="279">
        <f t="shared" si="2"/>
        <v>0</v>
      </c>
      <c r="F12" s="279">
        <f t="shared" si="2"/>
        <v>0</v>
      </c>
      <c r="G12" s="279">
        <f t="shared" si="2"/>
        <v>0</v>
      </c>
      <c r="H12" s="279">
        <f t="shared" si="2"/>
        <v>0</v>
      </c>
      <c r="I12" s="279">
        <f t="shared" si="2"/>
        <v>0</v>
      </c>
      <c r="J12" s="273">
        <f t="shared" si="2"/>
        <v>0</v>
      </c>
      <c r="K12" s="279">
        <f t="shared" si="2"/>
        <v>0</v>
      </c>
      <c r="L12" s="273">
        <f t="shared" si="2"/>
        <v>0</v>
      </c>
      <c r="M12" s="279">
        <f t="shared" si="2"/>
        <v>0</v>
      </c>
      <c r="N12" s="273">
        <f t="shared" si="2"/>
        <v>0</v>
      </c>
      <c r="O12" s="279">
        <f t="shared" si="2"/>
        <v>0</v>
      </c>
      <c r="P12" s="280">
        <f t="shared" si="2"/>
        <v>0</v>
      </c>
      <c r="Q12" s="281">
        <f t="shared" si="1"/>
        <v>0</v>
      </c>
      <c r="R12" s="282">
        <f t="shared" si="4"/>
        <v>2150</v>
      </c>
    </row>
    <row r="13" spans="2:18" ht="15.6">
      <c r="B13" s="298"/>
      <c r="C13" s="275" t="s">
        <v>52</v>
      </c>
      <c r="D13" s="274">
        <f t="shared" si="2"/>
        <v>0</v>
      </c>
      <c r="E13" s="274">
        <f t="shared" si="2"/>
        <v>0</v>
      </c>
      <c r="F13" s="274">
        <f t="shared" si="2"/>
        <v>0</v>
      </c>
      <c r="G13" s="274">
        <f t="shared" si="2"/>
        <v>0</v>
      </c>
      <c r="H13" s="274">
        <f t="shared" si="2"/>
        <v>0</v>
      </c>
      <c r="I13" s="274">
        <f t="shared" si="2"/>
        <v>0</v>
      </c>
      <c r="J13" s="284">
        <f t="shared" si="2"/>
        <v>0</v>
      </c>
      <c r="K13" s="274">
        <v>0</v>
      </c>
      <c r="L13" s="274">
        <f t="shared" si="2"/>
        <v>0</v>
      </c>
      <c r="M13" s="274">
        <v>1300</v>
      </c>
      <c r="N13" s="275">
        <f t="shared" si="2"/>
        <v>0</v>
      </c>
      <c r="O13" s="274">
        <f t="shared" si="2"/>
        <v>0</v>
      </c>
      <c r="P13" s="276">
        <f t="shared" si="2"/>
        <v>0</v>
      </c>
      <c r="Q13" s="283">
        <f t="shared" si="1"/>
        <v>1300</v>
      </c>
      <c r="R13" s="278">
        <f t="shared" si="4"/>
        <v>3450</v>
      </c>
    </row>
    <row r="14" spans="2:18" ht="15.6">
      <c r="B14" s="296"/>
      <c r="C14" s="273" t="s">
        <v>53</v>
      </c>
      <c r="D14" s="279">
        <f t="shared" si="2"/>
        <v>0</v>
      </c>
      <c r="E14" s="279">
        <f t="shared" si="2"/>
        <v>0</v>
      </c>
      <c r="F14" s="279">
        <f t="shared" si="2"/>
        <v>0</v>
      </c>
      <c r="G14" s="279">
        <f t="shared" si="2"/>
        <v>0</v>
      </c>
      <c r="H14" s="279">
        <f t="shared" si="2"/>
        <v>0</v>
      </c>
      <c r="I14" s="279">
        <f t="shared" si="2"/>
        <v>0</v>
      </c>
      <c r="J14" s="285">
        <f t="shared" si="2"/>
        <v>0</v>
      </c>
      <c r="K14" s="279">
        <v>730</v>
      </c>
      <c r="L14" s="279">
        <f t="shared" si="2"/>
        <v>0</v>
      </c>
      <c r="M14" s="279">
        <v>400</v>
      </c>
      <c r="N14" s="273">
        <f t="shared" si="2"/>
        <v>0</v>
      </c>
      <c r="O14" s="279">
        <f t="shared" si="2"/>
        <v>0</v>
      </c>
      <c r="P14" s="280">
        <f t="shared" si="2"/>
        <v>0</v>
      </c>
      <c r="Q14" s="281">
        <f t="shared" si="1"/>
        <v>1130</v>
      </c>
      <c r="R14" s="282">
        <f t="shared" si="4"/>
        <v>4580</v>
      </c>
    </row>
    <row r="15" spans="2:18" ht="15.6">
      <c r="B15" s="296"/>
      <c r="C15" s="273" t="s">
        <v>54</v>
      </c>
      <c r="D15" s="279">
        <f t="shared" si="2"/>
        <v>0</v>
      </c>
      <c r="E15" s="279">
        <f t="shared" si="2"/>
        <v>0</v>
      </c>
      <c r="F15" s="279">
        <f t="shared" si="2"/>
        <v>0</v>
      </c>
      <c r="G15" s="279">
        <f t="shared" si="2"/>
        <v>0</v>
      </c>
      <c r="H15" s="279">
        <f t="shared" si="2"/>
        <v>0</v>
      </c>
      <c r="I15" s="279">
        <f t="shared" si="2"/>
        <v>0</v>
      </c>
      <c r="J15" s="285">
        <f t="shared" si="2"/>
        <v>0</v>
      </c>
      <c r="K15" s="279">
        <f t="shared" si="2"/>
        <v>0</v>
      </c>
      <c r="L15" s="279">
        <f t="shared" si="2"/>
        <v>0</v>
      </c>
      <c r="M15" s="279">
        <f t="shared" si="2"/>
        <v>0</v>
      </c>
      <c r="N15" s="273">
        <f t="shared" si="2"/>
        <v>0</v>
      </c>
      <c r="O15" s="279">
        <f t="shared" si="2"/>
        <v>0</v>
      </c>
      <c r="P15" s="280">
        <f t="shared" si="2"/>
        <v>0</v>
      </c>
      <c r="Q15" s="281">
        <f t="shared" si="1"/>
        <v>0</v>
      </c>
      <c r="R15" s="282">
        <f t="shared" si="4"/>
        <v>4580</v>
      </c>
    </row>
    <row r="16" spans="2:18" ht="15.6">
      <c r="B16" s="296">
        <v>41</v>
      </c>
      <c r="C16" s="273" t="s">
        <v>55</v>
      </c>
      <c r="D16" s="279">
        <f t="shared" si="2"/>
        <v>0</v>
      </c>
      <c r="E16" s="279">
        <f t="shared" si="2"/>
        <v>0</v>
      </c>
      <c r="F16" s="279">
        <f t="shared" si="2"/>
        <v>0</v>
      </c>
      <c r="G16" s="279">
        <f t="shared" si="2"/>
        <v>0</v>
      </c>
      <c r="H16" s="279">
        <f t="shared" si="2"/>
        <v>0</v>
      </c>
      <c r="I16" s="279">
        <f t="shared" si="2"/>
        <v>0</v>
      </c>
      <c r="J16" s="285">
        <f t="shared" si="2"/>
        <v>0</v>
      </c>
      <c r="K16" s="279">
        <f t="shared" si="2"/>
        <v>0</v>
      </c>
      <c r="L16" s="279">
        <f t="shared" si="2"/>
        <v>0</v>
      </c>
      <c r="M16" s="279">
        <f t="shared" si="2"/>
        <v>0</v>
      </c>
      <c r="N16" s="273">
        <f t="shared" si="2"/>
        <v>0</v>
      </c>
      <c r="O16" s="279">
        <f t="shared" si="2"/>
        <v>0</v>
      </c>
      <c r="P16" s="280">
        <f t="shared" si="2"/>
        <v>0</v>
      </c>
      <c r="Q16" s="281">
        <f t="shared" si="1"/>
        <v>0</v>
      </c>
      <c r="R16" s="282">
        <f t="shared" si="4"/>
        <v>4580</v>
      </c>
    </row>
    <row r="17" spans="2:18" ht="15.6">
      <c r="B17" s="296"/>
      <c r="C17" s="273" t="s">
        <v>56</v>
      </c>
      <c r="D17" s="279">
        <f t="shared" si="2"/>
        <v>0</v>
      </c>
      <c r="E17" s="279">
        <f t="shared" si="2"/>
        <v>0</v>
      </c>
      <c r="F17" s="279">
        <f t="shared" si="2"/>
        <v>0</v>
      </c>
      <c r="G17" s="279">
        <f t="shared" si="2"/>
        <v>0</v>
      </c>
      <c r="H17" s="279">
        <f t="shared" si="2"/>
        <v>0</v>
      </c>
      <c r="I17" s="279">
        <f t="shared" si="2"/>
        <v>0</v>
      </c>
      <c r="J17" s="285">
        <f t="shared" si="2"/>
        <v>0</v>
      </c>
      <c r="K17" s="279">
        <v>0</v>
      </c>
      <c r="L17" s="279">
        <f t="shared" si="2"/>
        <v>0</v>
      </c>
      <c r="M17" s="279">
        <v>0</v>
      </c>
      <c r="N17" s="273">
        <f t="shared" si="2"/>
        <v>0</v>
      </c>
      <c r="O17" s="279">
        <f t="shared" si="2"/>
        <v>0</v>
      </c>
      <c r="P17" s="280">
        <f t="shared" si="2"/>
        <v>0</v>
      </c>
      <c r="Q17" s="281">
        <f t="shared" si="1"/>
        <v>0</v>
      </c>
      <c r="R17" s="282">
        <f t="shared" si="4"/>
        <v>4580</v>
      </c>
    </row>
    <row r="18" spans="2:18" ht="15.6">
      <c r="B18" s="296"/>
      <c r="C18" s="273" t="s">
        <v>57</v>
      </c>
      <c r="D18" s="279">
        <f t="shared" si="2"/>
        <v>0</v>
      </c>
      <c r="E18" s="279">
        <f t="shared" si="2"/>
        <v>0</v>
      </c>
      <c r="F18" s="279">
        <f t="shared" si="2"/>
        <v>0</v>
      </c>
      <c r="G18" s="279">
        <f t="shared" si="2"/>
        <v>0</v>
      </c>
      <c r="H18" s="279">
        <f t="shared" si="2"/>
        <v>0</v>
      </c>
      <c r="I18" s="279">
        <f t="shared" si="2"/>
        <v>0</v>
      </c>
      <c r="J18" s="285">
        <f t="shared" si="2"/>
        <v>0</v>
      </c>
      <c r="K18" s="279">
        <f t="shared" si="2"/>
        <v>0</v>
      </c>
      <c r="L18" s="279">
        <f t="shared" si="2"/>
        <v>0</v>
      </c>
      <c r="M18" s="279">
        <v>0</v>
      </c>
      <c r="N18" s="273">
        <f t="shared" si="2"/>
        <v>0</v>
      </c>
      <c r="O18" s="279">
        <f t="shared" si="2"/>
        <v>0</v>
      </c>
      <c r="P18" s="280">
        <f t="shared" si="2"/>
        <v>0</v>
      </c>
      <c r="Q18" s="281">
        <f t="shared" si="1"/>
        <v>0</v>
      </c>
      <c r="R18" s="282">
        <f t="shared" si="4"/>
        <v>4580</v>
      </c>
    </row>
    <row r="19" spans="2:18" ht="16.2" thickBot="1">
      <c r="B19" s="322"/>
      <c r="C19" s="288" t="s">
        <v>58</v>
      </c>
      <c r="D19" s="286">
        <f t="shared" si="2"/>
        <v>0</v>
      </c>
      <c r="E19" s="286">
        <f t="shared" si="2"/>
        <v>0</v>
      </c>
      <c r="F19" s="286">
        <f t="shared" si="2"/>
        <v>0</v>
      </c>
      <c r="G19" s="286">
        <f t="shared" si="2"/>
        <v>0</v>
      </c>
      <c r="H19" s="286">
        <f t="shared" si="2"/>
        <v>0</v>
      </c>
      <c r="I19" s="286">
        <f t="shared" si="2"/>
        <v>0</v>
      </c>
      <c r="J19" s="287">
        <f t="shared" si="2"/>
        <v>0</v>
      </c>
      <c r="K19" s="286">
        <v>0</v>
      </c>
      <c r="L19" s="286">
        <f t="shared" si="2"/>
        <v>0</v>
      </c>
      <c r="M19" s="286">
        <v>0</v>
      </c>
      <c r="N19" s="288">
        <f t="shared" si="2"/>
        <v>0</v>
      </c>
      <c r="O19" s="286">
        <f t="shared" si="2"/>
        <v>0</v>
      </c>
      <c r="P19" s="289">
        <f t="shared" si="2"/>
        <v>0</v>
      </c>
      <c r="Q19" s="290">
        <f t="shared" si="1"/>
        <v>0</v>
      </c>
      <c r="R19" s="291">
        <f t="shared" si="4"/>
        <v>4580</v>
      </c>
    </row>
    <row r="20" spans="2:18" ht="15.6">
      <c r="B20" s="298"/>
      <c r="C20" s="275" t="s">
        <v>59</v>
      </c>
      <c r="D20" s="274">
        <f t="shared" si="2"/>
        <v>0</v>
      </c>
      <c r="E20" s="274">
        <f t="shared" si="2"/>
        <v>0</v>
      </c>
      <c r="F20" s="274">
        <f t="shared" si="2"/>
        <v>0</v>
      </c>
      <c r="G20" s="274">
        <f t="shared" si="2"/>
        <v>0</v>
      </c>
      <c r="H20" s="274">
        <f t="shared" si="2"/>
        <v>0</v>
      </c>
      <c r="I20" s="274">
        <f t="shared" si="2"/>
        <v>0</v>
      </c>
      <c r="J20" s="274">
        <f t="shared" si="2"/>
        <v>0</v>
      </c>
      <c r="K20" s="274">
        <f t="shared" si="2"/>
        <v>0</v>
      </c>
      <c r="L20" s="274">
        <f t="shared" si="2"/>
        <v>0</v>
      </c>
      <c r="M20" s="274">
        <v>2010</v>
      </c>
      <c r="N20" s="274">
        <f t="shared" si="2"/>
        <v>0</v>
      </c>
      <c r="O20" s="274">
        <f t="shared" si="2"/>
        <v>0</v>
      </c>
      <c r="P20" s="283">
        <f t="shared" si="2"/>
        <v>0</v>
      </c>
      <c r="Q20" s="283">
        <f t="shared" si="1"/>
        <v>2010</v>
      </c>
      <c r="R20" s="292">
        <f t="shared" si="4"/>
        <v>6590</v>
      </c>
    </row>
    <row r="21" spans="2:18" ht="15.6">
      <c r="B21" s="296"/>
      <c r="C21" s="273" t="s">
        <v>60</v>
      </c>
      <c r="D21" s="279">
        <f t="shared" si="2"/>
        <v>0</v>
      </c>
      <c r="E21" s="279">
        <f t="shared" si="2"/>
        <v>0</v>
      </c>
      <c r="F21" s="279">
        <f t="shared" si="2"/>
        <v>0</v>
      </c>
      <c r="G21" s="279">
        <f t="shared" si="2"/>
        <v>0</v>
      </c>
      <c r="H21" s="279">
        <f t="shared" si="2"/>
        <v>0</v>
      </c>
      <c r="I21" s="279">
        <f t="shared" si="2"/>
        <v>0</v>
      </c>
      <c r="J21" s="279">
        <f t="shared" si="2"/>
        <v>0</v>
      </c>
      <c r="K21" s="279">
        <f t="shared" si="2"/>
        <v>0</v>
      </c>
      <c r="L21" s="279">
        <f t="shared" si="2"/>
        <v>0</v>
      </c>
      <c r="M21" s="279">
        <v>2150</v>
      </c>
      <c r="N21" s="279">
        <f t="shared" si="2"/>
        <v>0</v>
      </c>
      <c r="O21" s="279">
        <f t="shared" si="2"/>
        <v>0</v>
      </c>
      <c r="P21" s="281">
        <f t="shared" si="2"/>
        <v>0</v>
      </c>
      <c r="Q21" s="281">
        <f t="shared" si="1"/>
        <v>2150</v>
      </c>
      <c r="R21" s="293">
        <f t="shared" si="4"/>
        <v>8740</v>
      </c>
    </row>
    <row r="22" spans="2:18" ht="15.6">
      <c r="B22" s="296"/>
      <c r="C22" s="273" t="s">
        <v>61</v>
      </c>
      <c r="D22" s="279">
        <f t="shared" ref="D22:P37" si="5">+D131*D$110</f>
        <v>0</v>
      </c>
      <c r="E22" s="279">
        <f t="shared" si="5"/>
        <v>0</v>
      </c>
      <c r="F22" s="279">
        <f t="shared" si="5"/>
        <v>0</v>
      </c>
      <c r="G22" s="279">
        <f t="shared" si="5"/>
        <v>0</v>
      </c>
      <c r="H22" s="279">
        <f t="shared" si="5"/>
        <v>0</v>
      </c>
      <c r="I22" s="279">
        <f t="shared" si="5"/>
        <v>0</v>
      </c>
      <c r="J22" s="279">
        <f t="shared" si="5"/>
        <v>0</v>
      </c>
      <c r="K22" s="279">
        <v>2180</v>
      </c>
      <c r="L22" s="279">
        <f t="shared" si="5"/>
        <v>0</v>
      </c>
      <c r="M22" s="279">
        <f t="shared" si="5"/>
        <v>0</v>
      </c>
      <c r="N22" s="279">
        <f t="shared" si="5"/>
        <v>0</v>
      </c>
      <c r="O22" s="279">
        <f t="shared" si="5"/>
        <v>0</v>
      </c>
      <c r="P22" s="281">
        <v>0</v>
      </c>
      <c r="Q22" s="281">
        <f t="shared" si="1"/>
        <v>2180</v>
      </c>
      <c r="R22" s="293">
        <f t="shared" si="4"/>
        <v>10920</v>
      </c>
    </row>
    <row r="23" spans="2:18" ht="15.6">
      <c r="B23" s="296">
        <v>42</v>
      </c>
      <c r="C23" s="273" t="s">
        <v>62</v>
      </c>
      <c r="D23" s="279">
        <f t="shared" si="5"/>
        <v>0</v>
      </c>
      <c r="E23" s="279">
        <f t="shared" si="5"/>
        <v>0</v>
      </c>
      <c r="F23" s="279">
        <f t="shared" si="5"/>
        <v>0</v>
      </c>
      <c r="G23" s="279">
        <f t="shared" si="5"/>
        <v>0</v>
      </c>
      <c r="H23" s="279">
        <f t="shared" si="5"/>
        <v>0</v>
      </c>
      <c r="I23" s="279">
        <f t="shared" si="5"/>
        <v>0</v>
      </c>
      <c r="J23" s="279">
        <f t="shared" si="5"/>
        <v>0</v>
      </c>
      <c r="K23" s="279">
        <v>440</v>
      </c>
      <c r="L23" s="279">
        <f t="shared" si="5"/>
        <v>0</v>
      </c>
      <c r="M23" s="279">
        <v>310</v>
      </c>
      <c r="N23" s="279">
        <f t="shared" si="5"/>
        <v>0</v>
      </c>
      <c r="O23" s="279">
        <v>80</v>
      </c>
      <c r="P23" s="281">
        <f t="shared" si="5"/>
        <v>0</v>
      </c>
      <c r="Q23" s="281">
        <f t="shared" si="1"/>
        <v>830</v>
      </c>
      <c r="R23" s="293">
        <f t="shared" si="4"/>
        <v>11750</v>
      </c>
    </row>
    <row r="24" spans="2:18" ht="15.6">
      <c r="B24" s="296"/>
      <c r="C24" s="273" t="s">
        <v>63</v>
      </c>
      <c r="D24" s="279">
        <f t="shared" si="5"/>
        <v>0</v>
      </c>
      <c r="E24" s="279">
        <f t="shared" si="5"/>
        <v>0</v>
      </c>
      <c r="F24" s="279">
        <f t="shared" si="5"/>
        <v>0</v>
      </c>
      <c r="G24" s="279">
        <f t="shared" si="5"/>
        <v>0</v>
      </c>
      <c r="H24" s="279">
        <f t="shared" si="5"/>
        <v>0</v>
      </c>
      <c r="I24" s="279">
        <f t="shared" si="5"/>
        <v>0</v>
      </c>
      <c r="J24" s="279">
        <f t="shared" si="5"/>
        <v>0</v>
      </c>
      <c r="K24" s="279">
        <v>0</v>
      </c>
      <c r="L24" s="279">
        <f t="shared" si="5"/>
        <v>0</v>
      </c>
      <c r="M24" s="279">
        <v>0</v>
      </c>
      <c r="N24" s="279">
        <f t="shared" si="5"/>
        <v>0</v>
      </c>
      <c r="O24" s="279">
        <f t="shared" si="5"/>
        <v>0</v>
      </c>
      <c r="P24" s="281">
        <f t="shared" si="5"/>
        <v>0</v>
      </c>
      <c r="Q24" s="281">
        <f t="shared" si="1"/>
        <v>0</v>
      </c>
      <c r="R24" s="293">
        <f t="shared" si="4"/>
        <v>11750</v>
      </c>
    </row>
    <row r="25" spans="2:18" ht="15.6">
      <c r="B25" s="296"/>
      <c r="C25" s="273" t="s">
        <v>64</v>
      </c>
      <c r="D25" s="279">
        <f t="shared" si="5"/>
        <v>0</v>
      </c>
      <c r="E25" s="279">
        <f t="shared" si="5"/>
        <v>0</v>
      </c>
      <c r="F25" s="279">
        <f t="shared" si="5"/>
        <v>0</v>
      </c>
      <c r="G25" s="279">
        <v>0</v>
      </c>
      <c r="H25" s="279">
        <f t="shared" si="5"/>
        <v>0</v>
      </c>
      <c r="I25" s="279">
        <f t="shared" si="5"/>
        <v>0</v>
      </c>
      <c r="J25" s="279">
        <f t="shared" si="5"/>
        <v>0</v>
      </c>
      <c r="K25" s="279">
        <v>0</v>
      </c>
      <c r="L25" s="279">
        <f t="shared" si="5"/>
        <v>0</v>
      </c>
      <c r="M25" s="279">
        <v>0</v>
      </c>
      <c r="N25" s="279">
        <f t="shared" si="5"/>
        <v>0</v>
      </c>
      <c r="O25" s="279">
        <f t="shared" si="5"/>
        <v>0</v>
      </c>
      <c r="P25" s="281">
        <v>0</v>
      </c>
      <c r="Q25" s="281">
        <f t="shared" si="1"/>
        <v>0</v>
      </c>
      <c r="R25" s="293">
        <f t="shared" si="4"/>
        <v>11750</v>
      </c>
    </row>
    <row r="26" spans="2:18" ht="16.2" thickBot="1">
      <c r="B26" s="322"/>
      <c r="C26" s="288" t="s">
        <v>65</v>
      </c>
      <c r="D26" s="286">
        <f t="shared" si="5"/>
        <v>0</v>
      </c>
      <c r="E26" s="286">
        <f t="shared" si="5"/>
        <v>0</v>
      </c>
      <c r="F26" s="286">
        <f t="shared" si="5"/>
        <v>0</v>
      </c>
      <c r="G26" s="286">
        <f t="shared" si="5"/>
        <v>0</v>
      </c>
      <c r="H26" s="286">
        <f t="shared" si="5"/>
        <v>0</v>
      </c>
      <c r="I26" s="286">
        <f t="shared" si="5"/>
        <v>0</v>
      </c>
      <c r="J26" s="286">
        <f t="shared" si="5"/>
        <v>0</v>
      </c>
      <c r="K26" s="286">
        <f t="shared" si="5"/>
        <v>0</v>
      </c>
      <c r="L26" s="286">
        <f t="shared" si="5"/>
        <v>0</v>
      </c>
      <c r="M26" s="286">
        <f t="shared" si="5"/>
        <v>0</v>
      </c>
      <c r="N26" s="286">
        <f t="shared" si="5"/>
        <v>0</v>
      </c>
      <c r="O26" s="286">
        <f t="shared" si="5"/>
        <v>0</v>
      </c>
      <c r="P26" s="290">
        <f t="shared" si="5"/>
        <v>0</v>
      </c>
      <c r="Q26" s="290">
        <f t="shared" si="1"/>
        <v>0</v>
      </c>
      <c r="R26" s="294">
        <f t="shared" si="4"/>
        <v>11750</v>
      </c>
    </row>
    <row r="27" spans="2:18" ht="15.6">
      <c r="B27" s="272"/>
      <c r="C27" s="273" t="s">
        <v>66</v>
      </c>
      <c r="D27" s="274">
        <f t="shared" si="5"/>
        <v>0</v>
      </c>
      <c r="E27" s="274">
        <f t="shared" si="5"/>
        <v>0</v>
      </c>
      <c r="F27" s="274">
        <f t="shared" si="5"/>
        <v>0</v>
      </c>
      <c r="G27" s="274">
        <f t="shared" si="5"/>
        <v>0</v>
      </c>
      <c r="H27" s="274">
        <f t="shared" si="5"/>
        <v>0</v>
      </c>
      <c r="I27" s="274">
        <f t="shared" si="5"/>
        <v>0</v>
      </c>
      <c r="J27" s="274">
        <f t="shared" si="5"/>
        <v>0</v>
      </c>
      <c r="K27" s="274">
        <v>0</v>
      </c>
      <c r="L27" s="274">
        <f t="shared" si="5"/>
        <v>0</v>
      </c>
      <c r="M27" s="274">
        <v>2990</v>
      </c>
      <c r="N27" s="274">
        <f t="shared" si="5"/>
        <v>0</v>
      </c>
      <c r="O27" s="274">
        <f t="shared" si="5"/>
        <v>0</v>
      </c>
      <c r="P27" s="283">
        <f t="shared" si="5"/>
        <v>0</v>
      </c>
      <c r="Q27" s="283">
        <f t="shared" si="1"/>
        <v>2990</v>
      </c>
      <c r="R27" s="292">
        <f t="shared" si="4"/>
        <v>14740</v>
      </c>
    </row>
    <row r="28" spans="2:18" ht="15.6">
      <c r="B28" s="296"/>
      <c r="C28" s="272" t="s">
        <v>67</v>
      </c>
      <c r="D28" s="279">
        <f t="shared" si="5"/>
        <v>0</v>
      </c>
      <c r="E28" s="279">
        <f t="shared" si="5"/>
        <v>0</v>
      </c>
      <c r="F28" s="279">
        <f t="shared" si="5"/>
        <v>0</v>
      </c>
      <c r="G28" s="279">
        <f t="shared" si="5"/>
        <v>0</v>
      </c>
      <c r="H28" s="279">
        <f t="shared" si="5"/>
        <v>0</v>
      </c>
      <c r="I28" s="279">
        <f t="shared" si="5"/>
        <v>0</v>
      </c>
      <c r="J28" s="279">
        <f t="shared" si="5"/>
        <v>0</v>
      </c>
      <c r="K28" s="279">
        <v>0</v>
      </c>
      <c r="L28" s="279">
        <f t="shared" si="5"/>
        <v>0</v>
      </c>
      <c r="M28" s="279">
        <v>2600</v>
      </c>
      <c r="N28" s="279">
        <f t="shared" si="5"/>
        <v>0</v>
      </c>
      <c r="O28" s="279">
        <f t="shared" si="5"/>
        <v>0</v>
      </c>
      <c r="P28" s="281">
        <f t="shared" si="5"/>
        <v>0</v>
      </c>
      <c r="Q28" s="281">
        <f t="shared" si="1"/>
        <v>2600</v>
      </c>
      <c r="R28" s="293">
        <f t="shared" si="4"/>
        <v>17340</v>
      </c>
    </row>
    <row r="29" spans="2:18" ht="15.6">
      <c r="B29" s="296"/>
      <c r="C29" s="273" t="s">
        <v>68</v>
      </c>
      <c r="D29" s="279">
        <f t="shared" si="5"/>
        <v>0</v>
      </c>
      <c r="E29" s="279">
        <f t="shared" si="5"/>
        <v>0</v>
      </c>
      <c r="F29" s="279">
        <f t="shared" si="5"/>
        <v>0</v>
      </c>
      <c r="G29" s="279">
        <v>0</v>
      </c>
      <c r="H29" s="279">
        <f t="shared" si="5"/>
        <v>0</v>
      </c>
      <c r="I29" s="279">
        <f t="shared" si="5"/>
        <v>0</v>
      </c>
      <c r="J29" s="279">
        <f t="shared" si="5"/>
        <v>0</v>
      </c>
      <c r="K29" s="279">
        <v>1120</v>
      </c>
      <c r="L29" s="279">
        <f t="shared" si="5"/>
        <v>0</v>
      </c>
      <c r="M29" s="279">
        <v>2680</v>
      </c>
      <c r="N29" s="279">
        <v>0</v>
      </c>
      <c r="O29" s="279">
        <f t="shared" si="5"/>
        <v>0</v>
      </c>
      <c r="P29" s="295">
        <v>0</v>
      </c>
      <c r="Q29" s="281">
        <f t="shared" si="1"/>
        <v>3800</v>
      </c>
      <c r="R29" s="293">
        <f t="shared" si="4"/>
        <v>21140</v>
      </c>
    </row>
    <row r="30" spans="2:18" ht="15.6">
      <c r="B30" s="296">
        <v>43</v>
      </c>
      <c r="C30" s="273" t="s">
        <v>69</v>
      </c>
      <c r="D30" s="279">
        <f t="shared" si="5"/>
        <v>0</v>
      </c>
      <c r="E30" s="279">
        <f t="shared" si="5"/>
        <v>0</v>
      </c>
      <c r="F30" s="279">
        <f t="shared" si="5"/>
        <v>0</v>
      </c>
      <c r="G30" s="279">
        <f t="shared" si="5"/>
        <v>0</v>
      </c>
      <c r="H30" s="279">
        <f t="shared" si="5"/>
        <v>0</v>
      </c>
      <c r="I30" s="279">
        <f t="shared" si="5"/>
        <v>0</v>
      </c>
      <c r="J30" s="279">
        <f t="shared" si="5"/>
        <v>0</v>
      </c>
      <c r="K30" s="279">
        <v>1800</v>
      </c>
      <c r="L30" s="279">
        <f t="shared" si="5"/>
        <v>0</v>
      </c>
      <c r="M30" s="279">
        <f t="shared" si="5"/>
        <v>0</v>
      </c>
      <c r="N30" s="279">
        <f t="shared" si="5"/>
        <v>0</v>
      </c>
      <c r="O30" s="279">
        <f t="shared" si="5"/>
        <v>0</v>
      </c>
      <c r="P30" s="281">
        <f t="shared" si="5"/>
        <v>0</v>
      </c>
      <c r="Q30" s="281">
        <f t="shared" si="1"/>
        <v>1800</v>
      </c>
      <c r="R30" s="293">
        <f t="shared" si="4"/>
        <v>22940</v>
      </c>
    </row>
    <row r="31" spans="2:18" ht="15.6">
      <c r="B31" s="296"/>
      <c r="C31" s="273" t="s">
        <v>70</v>
      </c>
      <c r="D31" s="279">
        <f t="shared" si="5"/>
        <v>0</v>
      </c>
      <c r="E31" s="279">
        <f t="shared" si="5"/>
        <v>0</v>
      </c>
      <c r="F31" s="279">
        <f t="shared" si="5"/>
        <v>0</v>
      </c>
      <c r="G31" s="279">
        <f t="shared" si="5"/>
        <v>0</v>
      </c>
      <c r="H31" s="279">
        <f t="shared" si="5"/>
        <v>0</v>
      </c>
      <c r="I31" s="279">
        <f t="shared" si="5"/>
        <v>0</v>
      </c>
      <c r="J31" s="279">
        <f t="shared" si="5"/>
        <v>0</v>
      </c>
      <c r="K31" s="279">
        <f t="shared" si="5"/>
        <v>0</v>
      </c>
      <c r="L31" s="279">
        <f t="shared" si="5"/>
        <v>0</v>
      </c>
      <c r="M31" s="279">
        <f t="shared" si="5"/>
        <v>0</v>
      </c>
      <c r="N31" s="279">
        <f t="shared" si="5"/>
        <v>0</v>
      </c>
      <c r="O31" s="279">
        <f t="shared" si="5"/>
        <v>0</v>
      </c>
      <c r="P31" s="281">
        <f t="shared" si="5"/>
        <v>0</v>
      </c>
      <c r="Q31" s="281">
        <f t="shared" si="1"/>
        <v>0</v>
      </c>
      <c r="R31" s="293">
        <f t="shared" si="4"/>
        <v>22940</v>
      </c>
    </row>
    <row r="32" spans="2:18" ht="15.6">
      <c r="B32" s="296"/>
      <c r="C32" s="273" t="s">
        <v>71</v>
      </c>
      <c r="D32" s="279">
        <f t="shared" si="5"/>
        <v>0</v>
      </c>
      <c r="E32" s="279">
        <f t="shared" si="5"/>
        <v>0</v>
      </c>
      <c r="F32" s="279">
        <v>0</v>
      </c>
      <c r="G32" s="279">
        <v>0</v>
      </c>
      <c r="H32" s="279">
        <f t="shared" si="5"/>
        <v>0</v>
      </c>
      <c r="I32" s="279">
        <v>0</v>
      </c>
      <c r="J32" s="279">
        <f t="shared" si="5"/>
        <v>0</v>
      </c>
      <c r="K32" s="279">
        <f t="shared" si="5"/>
        <v>0</v>
      </c>
      <c r="L32" s="279">
        <f t="shared" si="5"/>
        <v>0</v>
      </c>
      <c r="M32" s="279">
        <f t="shared" si="5"/>
        <v>0</v>
      </c>
      <c r="N32" s="279">
        <v>0</v>
      </c>
      <c r="O32" s="279">
        <f t="shared" si="5"/>
        <v>0</v>
      </c>
      <c r="P32" s="281">
        <f t="shared" si="5"/>
        <v>0</v>
      </c>
      <c r="Q32" s="281">
        <f t="shared" si="1"/>
        <v>0</v>
      </c>
      <c r="R32" s="293">
        <f t="shared" si="4"/>
        <v>22940</v>
      </c>
    </row>
    <row r="33" spans="2:18" ht="16.2" thickBot="1">
      <c r="B33" s="323"/>
      <c r="C33" s="273" t="s">
        <v>72</v>
      </c>
      <c r="D33" s="286">
        <f t="shared" si="5"/>
        <v>0</v>
      </c>
      <c r="E33" s="286">
        <f t="shared" si="5"/>
        <v>0</v>
      </c>
      <c r="F33" s="286">
        <f t="shared" si="5"/>
        <v>0</v>
      </c>
      <c r="G33" s="286">
        <v>0</v>
      </c>
      <c r="H33" s="286">
        <f t="shared" si="5"/>
        <v>0</v>
      </c>
      <c r="I33" s="286">
        <f t="shared" si="5"/>
        <v>0</v>
      </c>
      <c r="J33" s="286">
        <f t="shared" si="5"/>
        <v>0</v>
      </c>
      <c r="K33" s="286">
        <f t="shared" si="5"/>
        <v>0</v>
      </c>
      <c r="L33" s="286">
        <f t="shared" si="5"/>
        <v>0</v>
      </c>
      <c r="M33" s="286">
        <v>0</v>
      </c>
      <c r="N33" s="286">
        <f t="shared" si="5"/>
        <v>0</v>
      </c>
      <c r="O33" s="286">
        <f t="shared" si="5"/>
        <v>0</v>
      </c>
      <c r="P33" s="290">
        <f t="shared" si="5"/>
        <v>0</v>
      </c>
      <c r="Q33" s="290">
        <f t="shared" si="1"/>
        <v>0</v>
      </c>
      <c r="R33" s="294">
        <f t="shared" si="4"/>
        <v>22940</v>
      </c>
    </row>
    <row r="34" spans="2:18" ht="15.6">
      <c r="B34" s="298"/>
      <c r="C34" s="275" t="s">
        <v>73</v>
      </c>
      <c r="D34" s="279">
        <f t="shared" si="5"/>
        <v>0</v>
      </c>
      <c r="E34" s="297">
        <f t="shared" si="5"/>
        <v>0</v>
      </c>
      <c r="F34" s="297">
        <f t="shared" si="5"/>
        <v>0</v>
      </c>
      <c r="G34" s="297">
        <f t="shared" si="5"/>
        <v>0</v>
      </c>
      <c r="H34" s="297">
        <f t="shared" si="5"/>
        <v>0</v>
      </c>
      <c r="I34" s="279">
        <f t="shared" si="5"/>
        <v>0</v>
      </c>
      <c r="J34" s="279">
        <f t="shared" si="5"/>
        <v>0</v>
      </c>
      <c r="K34" s="279">
        <v>2890</v>
      </c>
      <c r="L34" s="279">
        <f t="shared" si="5"/>
        <v>0</v>
      </c>
      <c r="M34" s="279">
        <f t="shared" si="5"/>
        <v>0</v>
      </c>
      <c r="N34" s="279">
        <f t="shared" si="5"/>
        <v>0</v>
      </c>
      <c r="O34" s="279">
        <f t="shared" si="5"/>
        <v>0</v>
      </c>
      <c r="P34" s="281">
        <f t="shared" si="5"/>
        <v>0</v>
      </c>
      <c r="Q34" s="281">
        <f t="shared" si="1"/>
        <v>2890</v>
      </c>
      <c r="R34" s="282">
        <f t="shared" si="4"/>
        <v>25830</v>
      </c>
    </row>
    <row r="35" spans="2:18" ht="15.6">
      <c r="B35" s="296"/>
      <c r="C35" s="273" t="s">
        <v>74</v>
      </c>
      <c r="D35" s="279">
        <f t="shared" si="5"/>
        <v>0</v>
      </c>
      <c r="E35" s="297">
        <f t="shared" si="5"/>
        <v>0</v>
      </c>
      <c r="F35" s="297">
        <f t="shared" si="5"/>
        <v>0</v>
      </c>
      <c r="G35" s="297">
        <f t="shared" si="5"/>
        <v>0</v>
      </c>
      <c r="H35" s="297">
        <f t="shared" si="5"/>
        <v>0</v>
      </c>
      <c r="I35" s="279">
        <f t="shared" si="5"/>
        <v>0</v>
      </c>
      <c r="J35" s="279">
        <f t="shared" si="5"/>
        <v>0</v>
      </c>
      <c r="K35" s="279">
        <v>2570</v>
      </c>
      <c r="L35" s="279">
        <f t="shared" si="5"/>
        <v>0</v>
      </c>
      <c r="M35" s="279">
        <f t="shared" si="5"/>
        <v>0</v>
      </c>
      <c r="N35" s="279">
        <f t="shared" si="5"/>
        <v>0</v>
      </c>
      <c r="O35" s="279">
        <f t="shared" si="5"/>
        <v>0</v>
      </c>
      <c r="P35" s="281">
        <f t="shared" si="5"/>
        <v>0</v>
      </c>
      <c r="Q35" s="281">
        <f t="shared" si="1"/>
        <v>2570</v>
      </c>
      <c r="R35" s="282">
        <f t="shared" si="4"/>
        <v>28400</v>
      </c>
    </row>
    <row r="36" spans="2:18" ht="15.6">
      <c r="B36" s="296"/>
      <c r="C36" s="273" t="s">
        <v>75</v>
      </c>
      <c r="D36" s="279">
        <f t="shared" si="5"/>
        <v>0</v>
      </c>
      <c r="E36" s="297">
        <f t="shared" si="5"/>
        <v>0</v>
      </c>
      <c r="F36" s="297">
        <f t="shared" si="5"/>
        <v>0</v>
      </c>
      <c r="G36" s="297">
        <v>0</v>
      </c>
      <c r="H36" s="297">
        <f t="shared" si="5"/>
        <v>0</v>
      </c>
      <c r="I36" s="279">
        <f t="shared" si="5"/>
        <v>0</v>
      </c>
      <c r="J36" s="279">
        <f t="shared" si="5"/>
        <v>0</v>
      </c>
      <c r="K36" s="279">
        <v>1400</v>
      </c>
      <c r="L36" s="279">
        <f t="shared" si="5"/>
        <v>0</v>
      </c>
      <c r="M36" s="279">
        <v>880</v>
      </c>
      <c r="N36" s="279">
        <f t="shared" si="5"/>
        <v>0</v>
      </c>
      <c r="O36" s="279">
        <f t="shared" si="5"/>
        <v>0</v>
      </c>
      <c r="P36" s="281">
        <f t="shared" si="5"/>
        <v>0</v>
      </c>
      <c r="Q36" s="281">
        <f t="shared" si="1"/>
        <v>2280</v>
      </c>
      <c r="R36" s="282">
        <f t="shared" si="4"/>
        <v>30680</v>
      </c>
    </row>
    <row r="37" spans="2:18" ht="15.6">
      <c r="B37" s="296">
        <v>44</v>
      </c>
      <c r="C37" s="273" t="s">
        <v>76</v>
      </c>
      <c r="D37" s="279">
        <f t="shared" si="5"/>
        <v>0</v>
      </c>
      <c r="E37" s="297">
        <f t="shared" si="5"/>
        <v>0</v>
      </c>
      <c r="F37" s="297">
        <f t="shared" si="5"/>
        <v>0</v>
      </c>
      <c r="G37" s="297">
        <v>0</v>
      </c>
      <c r="H37" s="297">
        <f t="shared" si="5"/>
        <v>0</v>
      </c>
      <c r="I37" s="279">
        <v>0</v>
      </c>
      <c r="J37" s="279">
        <f t="shared" si="5"/>
        <v>0</v>
      </c>
      <c r="K37" s="279">
        <v>320</v>
      </c>
      <c r="L37" s="279">
        <f t="shared" si="5"/>
        <v>0</v>
      </c>
      <c r="M37" s="279">
        <v>1700</v>
      </c>
      <c r="N37" s="279">
        <v>0</v>
      </c>
      <c r="O37" s="279">
        <f t="shared" si="5"/>
        <v>0</v>
      </c>
      <c r="P37" s="281">
        <v>0</v>
      </c>
      <c r="Q37" s="281">
        <f t="shared" si="1"/>
        <v>2020</v>
      </c>
      <c r="R37" s="282">
        <f t="shared" si="4"/>
        <v>32700</v>
      </c>
    </row>
    <row r="38" spans="2:18" ht="15.6">
      <c r="B38" s="296"/>
      <c r="C38" s="273" t="s">
        <v>77</v>
      </c>
      <c r="D38" s="279">
        <v>0</v>
      </c>
      <c r="E38" s="297">
        <f t="shared" ref="E38:P38" si="6">+E147*E$110</f>
        <v>0</v>
      </c>
      <c r="F38" s="297">
        <f t="shared" si="6"/>
        <v>0</v>
      </c>
      <c r="G38" s="297">
        <v>0</v>
      </c>
      <c r="H38" s="297">
        <f t="shared" si="6"/>
        <v>0</v>
      </c>
      <c r="I38" s="279">
        <f t="shared" si="6"/>
        <v>0</v>
      </c>
      <c r="J38" s="279">
        <f t="shared" si="6"/>
        <v>0</v>
      </c>
      <c r="K38" s="279">
        <f t="shared" si="6"/>
        <v>0</v>
      </c>
      <c r="L38" s="279">
        <f t="shared" si="6"/>
        <v>0</v>
      </c>
      <c r="M38" s="279">
        <v>0</v>
      </c>
      <c r="N38" s="279">
        <f t="shared" si="6"/>
        <v>0</v>
      </c>
      <c r="O38" s="279">
        <f t="shared" si="6"/>
        <v>0</v>
      </c>
      <c r="P38" s="281">
        <f t="shared" si="6"/>
        <v>0</v>
      </c>
      <c r="Q38" s="295">
        <f t="shared" si="1"/>
        <v>0</v>
      </c>
      <c r="R38" s="282">
        <f t="shared" si="4"/>
        <v>32700</v>
      </c>
    </row>
    <row r="39" spans="2:18" ht="15.6">
      <c r="B39" s="323"/>
      <c r="C39" s="273" t="s">
        <v>78</v>
      </c>
      <c r="D39" s="279">
        <f t="shared" ref="D39:P40" si="7">+D148*D$110</f>
        <v>0</v>
      </c>
      <c r="E39" s="297">
        <f t="shared" si="7"/>
        <v>0</v>
      </c>
      <c r="F39" s="297">
        <f t="shared" si="7"/>
        <v>0</v>
      </c>
      <c r="G39" s="297">
        <f t="shared" si="7"/>
        <v>0</v>
      </c>
      <c r="H39" s="297">
        <f t="shared" si="7"/>
        <v>0</v>
      </c>
      <c r="I39" s="279">
        <f t="shared" si="7"/>
        <v>0</v>
      </c>
      <c r="J39" s="279">
        <f t="shared" si="7"/>
        <v>0</v>
      </c>
      <c r="K39" s="279">
        <f t="shared" si="7"/>
        <v>0</v>
      </c>
      <c r="L39" s="279">
        <f t="shared" si="7"/>
        <v>0</v>
      </c>
      <c r="M39" s="279">
        <f t="shared" si="7"/>
        <v>0</v>
      </c>
      <c r="N39" s="279">
        <f t="shared" si="7"/>
        <v>0</v>
      </c>
      <c r="O39" s="279">
        <f t="shared" si="7"/>
        <v>0</v>
      </c>
      <c r="P39" s="281">
        <f t="shared" si="7"/>
        <v>0</v>
      </c>
      <c r="Q39" s="295">
        <f t="shared" si="1"/>
        <v>0</v>
      </c>
      <c r="R39" s="282">
        <f t="shared" si="4"/>
        <v>32700</v>
      </c>
    </row>
    <row r="40" spans="2:18" ht="16.2" thickBot="1">
      <c r="B40" s="296"/>
      <c r="C40" s="273" t="s">
        <v>79</v>
      </c>
      <c r="D40" s="279">
        <v>0</v>
      </c>
      <c r="E40" s="297">
        <v>0</v>
      </c>
      <c r="F40" s="297">
        <f t="shared" si="7"/>
        <v>0</v>
      </c>
      <c r="G40" s="297">
        <v>0</v>
      </c>
      <c r="H40" s="297">
        <f t="shared" si="7"/>
        <v>0</v>
      </c>
      <c r="I40" s="279">
        <v>0</v>
      </c>
      <c r="J40" s="279">
        <f t="shared" si="7"/>
        <v>0</v>
      </c>
      <c r="K40" s="279">
        <f t="shared" si="7"/>
        <v>0</v>
      </c>
      <c r="L40" s="279">
        <f t="shared" si="7"/>
        <v>0</v>
      </c>
      <c r="M40" s="279">
        <f t="shared" si="7"/>
        <v>0</v>
      </c>
      <c r="N40" s="279">
        <v>0</v>
      </c>
      <c r="O40" s="279">
        <f t="shared" si="7"/>
        <v>0</v>
      </c>
      <c r="P40" s="281">
        <v>0</v>
      </c>
      <c r="Q40" s="295">
        <f t="shared" si="1"/>
        <v>0</v>
      </c>
      <c r="R40" s="282">
        <f t="shared" si="4"/>
        <v>32700</v>
      </c>
    </row>
    <row r="41" spans="2:18" ht="15.6">
      <c r="B41" s="298"/>
      <c r="C41" s="299" t="s">
        <v>80</v>
      </c>
      <c r="D41" s="274">
        <f t="shared" ref="D41:P43" si="8">+D150*D$110</f>
        <v>0</v>
      </c>
      <c r="E41" s="299">
        <f t="shared" si="8"/>
        <v>0</v>
      </c>
      <c r="F41" s="299">
        <v>40</v>
      </c>
      <c r="G41" s="299">
        <v>160</v>
      </c>
      <c r="H41" s="299">
        <f t="shared" si="8"/>
        <v>0</v>
      </c>
      <c r="I41" s="274">
        <f t="shared" si="8"/>
        <v>0</v>
      </c>
      <c r="J41" s="274">
        <f t="shared" si="8"/>
        <v>0</v>
      </c>
      <c r="K41" s="274">
        <v>1440</v>
      </c>
      <c r="L41" s="274">
        <f t="shared" si="8"/>
        <v>0</v>
      </c>
      <c r="M41" s="274">
        <v>490</v>
      </c>
      <c r="N41" s="274">
        <f t="shared" si="8"/>
        <v>0</v>
      </c>
      <c r="O41" s="274">
        <f t="shared" si="8"/>
        <v>0</v>
      </c>
      <c r="P41" s="283">
        <v>100</v>
      </c>
      <c r="Q41" s="277">
        <f t="shared" si="1"/>
        <v>2230</v>
      </c>
      <c r="R41" s="278">
        <f t="shared" si="4"/>
        <v>34930</v>
      </c>
    </row>
    <row r="42" spans="2:18" ht="15.6">
      <c r="B42" s="300"/>
      <c r="C42" s="303" t="s">
        <v>81</v>
      </c>
      <c r="D42" s="302">
        <f t="shared" si="8"/>
        <v>0</v>
      </c>
      <c r="E42" s="303">
        <f t="shared" si="8"/>
        <v>0</v>
      </c>
      <c r="F42" s="303">
        <f t="shared" si="8"/>
        <v>0</v>
      </c>
      <c r="G42" s="303">
        <f t="shared" si="8"/>
        <v>0</v>
      </c>
      <c r="H42" s="303">
        <f t="shared" si="8"/>
        <v>0</v>
      </c>
      <c r="I42" s="302">
        <f t="shared" si="8"/>
        <v>0</v>
      </c>
      <c r="J42" s="302">
        <f t="shared" si="8"/>
        <v>0</v>
      </c>
      <c r="K42" s="302">
        <f t="shared" si="8"/>
        <v>0</v>
      </c>
      <c r="L42" s="302">
        <f t="shared" si="8"/>
        <v>0</v>
      </c>
      <c r="M42" s="302">
        <f t="shared" si="8"/>
        <v>0</v>
      </c>
      <c r="N42" s="302">
        <f t="shared" si="8"/>
        <v>0</v>
      </c>
      <c r="O42" s="302">
        <f t="shared" si="8"/>
        <v>0</v>
      </c>
      <c r="P42" s="304">
        <f t="shared" si="8"/>
        <v>0</v>
      </c>
      <c r="Q42" s="305">
        <f t="shared" si="1"/>
        <v>0</v>
      </c>
      <c r="R42" s="306">
        <f t="shared" si="4"/>
        <v>34930</v>
      </c>
    </row>
    <row r="43" spans="2:18" ht="15.6">
      <c r="B43" s="300"/>
      <c r="C43" s="303" t="s">
        <v>82</v>
      </c>
      <c r="D43" s="302">
        <v>0</v>
      </c>
      <c r="E43" s="303">
        <f t="shared" si="8"/>
        <v>0</v>
      </c>
      <c r="F43" s="303">
        <f t="shared" si="8"/>
        <v>0</v>
      </c>
      <c r="G43" s="303">
        <v>880</v>
      </c>
      <c r="H43" s="303">
        <f t="shared" si="8"/>
        <v>0</v>
      </c>
      <c r="I43" s="302">
        <f t="shared" si="8"/>
        <v>0</v>
      </c>
      <c r="J43" s="302">
        <f t="shared" si="8"/>
        <v>0</v>
      </c>
      <c r="K43" s="302">
        <v>200</v>
      </c>
      <c r="L43" s="302">
        <f t="shared" si="8"/>
        <v>0</v>
      </c>
      <c r="M43" s="302">
        <v>65</v>
      </c>
      <c r="N43" s="302">
        <v>260</v>
      </c>
      <c r="O43" s="302">
        <v>20</v>
      </c>
      <c r="P43" s="304">
        <v>520</v>
      </c>
      <c r="Q43" s="305">
        <f t="shared" si="1"/>
        <v>1945</v>
      </c>
      <c r="R43" s="306">
        <f t="shared" si="4"/>
        <v>36875</v>
      </c>
    </row>
    <row r="44" spans="2:18" ht="15.6">
      <c r="B44" s="300">
        <v>45</v>
      </c>
      <c r="C44" s="303" t="s">
        <v>83</v>
      </c>
      <c r="D44" s="302">
        <f t="shared" ref="D44:P46" si="9">+D153*D$110</f>
        <v>0</v>
      </c>
      <c r="E44" s="303">
        <f t="shared" si="9"/>
        <v>0</v>
      </c>
      <c r="F44" s="303">
        <f t="shared" si="9"/>
        <v>0</v>
      </c>
      <c r="G44" s="303">
        <v>0</v>
      </c>
      <c r="H44" s="303">
        <f t="shared" si="9"/>
        <v>0</v>
      </c>
      <c r="I44" s="302">
        <f t="shared" si="9"/>
        <v>0</v>
      </c>
      <c r="J44" s="302">
        <f t="shared" si="9"/>
        <v>0</v>
      </c>
      <c r="K44" s="302">
        <f t="shared" si="9"/>
        <v>0</v>
      </c>
      <c r="L44" s="302">
        <f t="shared" si="9"/>
        <v>0</v>
      </c>
      <c r="M44" s="302">
        <v>0</v>
      </c>
      <c r="N44" s="302">
        <f t="shared" si="9"/>
        <v>0</v>
      </c>
      <c r="O44" s="302">
        <f t="shared" si="9"/>
        <v>0</v>
      </c>
      <c r="P44" s="304">
        <f t="shared" si="9"/>
        <v>0</v>
      </c>
      <c r="Q44" s="305">
        <f t="shared" si="1"/>
        <v>0</v>
      </c>
      <c r="R44" s="306">
        <f t="shared" si="4"/>
        <v>36875</v>
      </c>
    </row>
    <row r="45" spans="2:18" ht="15.6">
      <c r="B45" s="300"/>
      <c r="C45" s="303" t="s">
        <v>84</v>
      </c>
      <c r="D45" s="302">
        <f t="shared" si="9"/>
        <v>0</v>
      </c>
      <c r="E45" s="303">
        <f t="shared" si="9"/>
        <v>0</v>
      </c>
      <c r="F45" s="303">
        <v>30</v>
      </c>
      <c r="G45" s="303">
        <v>1320</v>
      </c>
      <c r="H45" s="303">
        <f t="shared" si="9"/>
        <v>0</v>
      </c>
      <c r="I45" s="302">
        <f t="shared" si="9"/>
        <v>0</v>
      </c>
      <c r="J45" s="302">
        <f t="shared" si="9"/>
        <v>0</v>
      </c>
      <c r="K45" s="302">
        <f t="shared" si="9"/>
        <v>0</v>
      </c>
      <c r="L45" s="302">
        <f t="shared" si="9"/>
        <v>0</v>
      </c>
      <c r="M45" s="302">
        <f t="shared" si="9"/>
        <v>0</v>
      </c>
      <c r="N45" s="302">
        <v>140</v>
      </c>
      <c r="O45" s="302">
        <f t="shared" si="9"/>
        <v>0</v>
      </c>
      <c r="P45" s="304">
        <v>1280</v>
      </c>
      <c r="Q45" s="305">
        <f t="shared" si="1"/>
        <v>2770</v>
      </c>
      <c r="R45" s="306">
        <f t="shared" si="4"/>
        <v>39645</v>
      </c>
    </row>
    <row r="46" spans="2:18" ht="15.6">
      <c r="B46" s="324"/>
      <c r="C46" s="303" t="s">
        <v>85</v>
      </c>
      <c r="D46" s="302">
        <v>0</v>
      </c>
      <c r="E46" s="303">
        <f t="shared" si="9"/>
        <v>0</v>
      </c>
      <c r="F46" s="303">
        <f t="shared" si="9"/>
        <v>0</v>
      </c>
      <c r="G46" s="303">
        <v>0</v>
      </c>
      <c r="H46" s="303">
        <f t="shared" si="9"/>
        <v>0</v>
      </c>
      <c r="I46" s="302">
        <f t="shared" si="9"/>
        <v>0</v>
      </c>
      <c r="J46" s="302">
        <f t="shared" si="9"/>
        <v>0</v>
      </c>
      <c r="K46" s="302">
        <f t="shared" si="9"/>
        <v>0</v>
      </c>
      <c r="L46" s="302">
        <f t="shared" si="9"/>
        <v>0</v>
      </c>
      <c r="M46" s="302">
        <f t="shared" si="9"/>
        <v>0</v>
      </c>
      <c r="N46" s="302">
        <v>0</v>
      </c>
      <c r="O46" s="302">
        <v>0</v>
      </c>
      <c r="P46" s="304">
        <v>0</v>
      </c>
      <c r="Q46" s="305">
        <f t="shared" si="1"/>
        <v>0</v>
      </c>
      <c r="R46" s="306">
        <f t="shared" si="4"/>
        <v>39645</v>
      </c>
    </row>
    <row r="47" spans="2:18" ht="16.2" thickBot="1">
      <c r="B47" s="307"/>
      <c r="C47" s="318" t="s">
        <v>86</v>
      </c>
      <c r="D47" s="302">
        <f t="shared" ref="D47:P51" si="10">+D156*D$110</f>
        <v>0</v>
      </c>
      <c r="E47" s="303">
        <f t="shared" si="10"/>
        <v>0</v>
      </c>
      <c r="F47" s="303">
        <f t="shared" si="10"/>
        <v>0</v>
      </c>
      <c r="G47" s="303">
        <v>0</v>
      </c>
      <c r="H47" s="303">
        <f t="shared" si="10"/>
        <v>0</v>
      </c>
      <c r="I47" s="302">
        <f t="shared" si="10"/>
        <v>0</v>
      </c>
      <c r="J47" s="302">
        <f t="shared" si="10"/>
        <v>0</v>
      </c>
      <c r="K47" s="302">
        <f t="shared" si="10"/>
        <v>0</v>
      </c>
      <c r="L47" s="302">
        <f t="shared" si="10"/>
        <v>0</v>
      </c>
      <c r="M47" s="302">
        <f t="shared" si="10"/>
        <v>0</v>
      </c>
      <c r="N47" s="302">
        <v>0</v>
      </c>
      <c r="O47" s="302">
        <v>0</v>
      </c>
      <c r="P47" s="304">
        <v>0</v>
      </c>
      <c r="Q47" s="305">
        <f t="shared" si="1"/>
        <v>0</v>
      </c>
      <c r="R47" s="306">
        <f t="shared" si="4"/>
        <v>39645</v>
      </c>
    </row>
    <row r="48" spans="2:18" ht="15.6">
      <c r="B48" s="309"/>
      <c r="C48" s="310" t="s">
        <v>87</v>
      </c>
      <c r="D48" s="311">
        <f t="shared" si="10"/>
        <v>0</v>
      </c>
      <c r="E48" s="312">
        <f t="shared" si="10"/>
        <v>0</v>
      </c>
      <c r="F48" s="312">
        <f t="shared" si="10"/>
        <v>0</v>
      </c>
      <c r="G48" s="312">
        <v>1880</v>
      </c>
      <c r="H48" s="312">
        <f t="shared" si="10"/>
        <v>0</v>
      </c>
      <c r="I48" s="311">
        <f t="shared" si="10"/>
        <v>0</v>
      </c>
      <c r="J48" s="311">
        <f t="shared" si="10"/>
        <v>0</v>
      </c>
      <c r="K48" s="311">
        <f t="shared" si="10"/>
        <v>0</v>
      </c>
      <c r="L48" s="311">
        <f t="shared" si="10"/>
        <v>0</v>
      </c>
      <c r="M48" s="311">
        <f t="shared" si="10"/>
        <v>0</v>
      </c>
      <c r="N48" s="311">
        <v>1950</v>
      </c>
      <c r="O48" s="311">
        <f t="shared" si="10"/>
        <v>0</v>
      </c>
      <c r="P48" s="313">
        <v>600</v>
      </c>
      <c r="Q48" s="314">
        <f t="shared" si="1"/>
        <v>4430</v>
      </c>
      <c r="R48" s="315">
        <f t="shared" si="4"/>
        <v>44075</v>
      </c>
    </row>
    <row r="49" spans="2:18" ht="15.6">
      <c r="B49" s="300"/>
      <c r="C49" s="301" t="s">
        <v>88</v>
      </c>
      <c r="D49" s="302">
        <f t="shared" si="10"/>
        <v>0</v>
      </c>
      <c r="E49" s="303">
        <f t="shared" si="10"/>
        <v>0</v>
      </c>
      <c r="F49" s="303">
        <f t="shared" si="10"/>
        <v>0</v>
      </c>
      <c r="G49" s="303">
        <v>2410</v>
      </c>
      <c r="H49" s="303">
        <f t="shared" si="10"/>
        <v>0</v>
      </c>
      <c r="I49" s="302">
        <f t="shared" si="10"/>
        <v>0</v>
      </c>
      <c r="J49" s="302">
        <f t="shared" si="10"/>
        <v>0</v>
      </c>
      <c r="K49" s="302">
        <f t="shared" si="10"/>
        <v>0</v>
      </c>
      <c r="L49" s="302">
        <f t="shared" si="10"/>
        <v>0</v>
      </c>
      <c r="M49" s="302">
        <f t="shared" si="10"/>
        <v>0</v>
      </c>
      <c r="N49" s="302">
        <v>2430</v>
      </c>
      <c r="O49" s="302">
        <f t="shared" si="10"/>
        <v>0</v>
      </c>
      <c r="P49" s="304">
        <f t="shared" si="10"/>
        <v>0</v>
      </c>
      <c r="Q49" s="305">
        <f t="shared" si="1"/>
        <v>4840</v>
      </c>
      <c r="R49" s="316">
        <f t="shared" si="4"/>
        <v>48915</v>
      </c>
    </row>
    <row r="50" spans="2:18" ht="15.6">
      <c r="B50" s="300"/>
      <c r="C50" s="301" t="s">
        <v>89</v>
      </c>
      <c r="D50" s="302">
        <v>0</v>
      </c>
      <c r="E50" s="303">
        <f t="shared" si="10"/>
        <v>0</v>
      </c>
      <c r="F50" s="303">
        <f t="shared" si="10"/>
        <v>0</v>
      </c>
      <c r="G50" s="303">
        <v>860</v>
      </c>
      <c r="H50" s="303">
        <f t="shared" si="10"/>
        <v>0</v>
      </c>
      <c r="I50" s="302">
        <f t="shared" si="10"/>
        <v>0</v>
      </c>
      <c r="J50" s="302">
        <f t="shared" si="10"/>
        <v>0</v>
      </c>
      <c r="K50" s="302">
        <f t="shared" si="10"/>
        <v>0</v>
      </c>
      <c r="L50" s="302">
        <f t="shared" si="10"/>
        <v>0</v>
      </c>
      <c r="M50" s="302">
        <f t="shared" si="10"/>
        <v>0</v>
      </c>
      <c r="N50" s="302">
        <v>2320</v>
      </c>
      <c r="O50" s="302">
        <v>0</v>
      </c>
      <c r="P50" s="304">
        <v>500</v>
      </c>
      <c r="Q50" s="305">
        <f t="shared" si="1"/>
        <v>3680</v>
      </c>
      <c r="R50" s="316">
        <f t="shared" si="4"/>
        <v>52595</v>
      </c>
    </row>
    <row r="51" spans="2:18" ht="15.6">
      <c r="B51" s="300">
        <v>46</v>
      </c>
      <c r="C51" s="301" t="s">
        <v>90</v>
      </c>
      <c r="D51" s="302">
        <v>1200</v>
      </c>
      <c r="E51" s="303">
        <f t="shared" si="10"/>
        <v>0</v>
      </c>
      <c r="F51" s="303">
        <f t="shared" si="10"/>
        <v>0</v>
      </c>
      <c r="G51" s="303">
        <v>980</v>
      </c>
      <c r="H51" s="303">
        <v>0</v>
      </c>
      <c r="I51" s="302">
        <f t="shared" si="10"/>
        <v>0</v>
      </c>
      <c r="J51" s="302">
        <v>0</v>
      </c>
      <c r="K51" s="302">
        <f t="shared" si="10"/>
        <v>0</v>
      </c>
      <c r="L51" s="302">
        <f t="shared" si="10"/>
        <v>0</v>
      </c>
      <c r="M51" s="302">
        <f t="shared" si="10"/>
        <v>0</v>
      </c>
      <c r="N51" s="302">
        <v>360</v>
      </c>
      <c r="O51" s="302">
        <f t="shared" si="10"/>
        <v>0</v>
      </c>
      <c r="P51" s="305">
        <v>280</v>
      </c>
      <c r="Q51" s="305">
        <f t="shared" si="1"/>
        <v>2820</v>
      </c>
      <c r="R51" s="316">
        <f t="shared" si="4"/>
        <v>55415</v>
      </c>
    </row>
    <row r="52" spans="2:18" ht="15.6">
      <c r="B52" s="324"/>
      <c r="C52" s="301" t="s">
        <v>91</v>
      </c>
      <c r="D52" s="302">
        <f t="shared" ref="D52:P55" si="11">+D161*D$110</f>
        <v>0</v>
      </c>
      <c r="E52" s="303">
        <f t="shared" si="11"/>
        <v>0</v>
      </c>
      <c r="F52" s="303">
        <f t="shared" si="11"/>
        <v>0</v>
      </c>
      <c r="G52" s="303">
        <v>440</v>
      </c>
      <c r="H52" s="303">
        <v>0</v>
      </c>
      <c r="I52" s="302">
        <v>0</v>
      </c>
      <c r="J52" s="302">
        <v>0</v>
      </c>
      <c r="K52" s="302">
        <v>0</v>
      </c>
      <c r="L52" s="302">
        <v>0</v>
      </c>
      <c r="M52" s="302">
        <v>0</v>
      </c>
      <c r="N52" s="302">
        <v>0</v>
      </c>
      <c r="O52" s="302">
        <v>0</v>
      </c>
      <c r="P52" s="305">
        <f t="shared" si="11"/>
        <v>0</v>
      </c>
      <c r="Q52" s="305">
        <f t="shared" si="1"/>
        <v>440</v>
      </c>
      <c r="R52" s="316">
        <f t="shared" si="4"/>
        <v>55855</v>
      </c>
    </row>
    <row r="53" spans="2:18" ht="15.6">
      <c r="B53" s="300"/>
      <c r="C53" s="301" t="s">
        <v>92</v>
      </c>
      <c r="D53" s="302">
        <f t="shared" si="11"/>
        <v>0</v>
      </c>
      <c r="E53" s="303">
        <f t="shared" si="11"/>
        <v>0</v>
      </c>
      <c r="F53" s="303">
        <v>0</v>
      </c>
      <c r="G53" s="303">
        <v>0</v>
      </c>
      <c r="H53" s="303">
        <f t="shared" si="11"/>
        <v>0</v>
      </c>
      <c r="I53" s="302">
        <v>0</v>
      </c>
      <c r="J53" s="302">
        <f t="shared" si="11"/>
        <v>0</v>
      </c>
      <c r="K53" s="302">
        <f t="shared" si="11"/>
        <v>0</v>
      </c>
      <c r="L53" s="302">
        <f t="shared" si="11"/>
        <v>0</v>
      </c>
      <c r="M53" s="302">
        <f t="shared" si="11"/>
        <v>0</v>
      </c>
      <c r="N53" s="302">
        <f t="shared" si="11"/>
        <v>0</v>
      </c>
      <c r="O53" s="302">
        <v>0</v>
      </c>
      <c r="P53" s="305">
        <f t="shared" si="11"/>
        <v>0</v>
      </c>
      <c r="Q53" s="305">
        <f t="shared" si="1"/>
        <v>0</v>
      </c>
      <c r="R53" s="316">
        <f t="shared" si="4"/>
        <v>55855</v>
      </c>
    </row>
    <row r="54" spans="2:18" ht="16.2" thickBot="1">
      <c r="B54" s="307"/>
      <c r="C54" s="308" t="s">
        <v>93</v>
      </c>
      <c r="D54" s="317">
        <f t="shared" si="11"/>
        <v>0</v>
      </c>
      <c r="E54" s="318">
        <f t="shared" si="11"/>
        <v>0</v>
      </c>
      <c r="F54" s="318">
        <v>0</v>
      </c>
      <c r="G54" s="318">
        <v>0</v>
      </c>
      <c r="H54" s="318">
        <f t="shared" si="11"/>
        <v>0</v>
      </c>
      <c r="I54" s="317">
        <f t="shared" si="11"/>
        <v>0</v>
      </c>
      <c r="J54" s="317">
        <v>0</v>
      </c>
      <c r="K54" s="317">
        <f t="shared" si="11"/>
        <v>0</v>
      </c>
      <c r="L54" s="317">
        <v>0</v>
      </c>
      <c r="M54" s="317">
        <f t="shared" si="11"/>
        <v>0</v>
      </c>
      <c r="N54" s="317">
        <f t="shared" si="11"/>
        <v>0</v>
      </c>
      <c r="O54" s="317">
        <f t="shared" si="11"/>
        <v>0</v>
      </c>
      <c r="P54" s="319">
        <f t="shared" si="11"/>
        <v>0</v>
      </c>
      <c r="Q54" s="319">
        <f t="shared" si="1"/>
        <v>0</v>
      </c>
      <c r="R54" s="320">
        <f t="shared" si="4"/>
        <v>55855</v>
      </c>
    </row>
    <row r="55" spans="2:18" ht="15.6">
      <c r="B55" s="309"/>
      <c r="C55" s="310" t="s">
        <v>94</v>
      </c>
      <c r="D55" s="311">
        <v>1120</v>
      </c>
      <c r="E55" s="312">
        <f t="shared" si="11"/>
        <v>0</v>
      </c>
      <c r="F55" s="312">
        <f t="shared" si="11"/>
        <v>0</v>
      </c>
      <c r="G55" s="312">
        <f t="shared" si="11"/>
        <v>0</v>
      </c>
      <c r="H55" s="312">
        <f t="shared" si="11"/>
        <v>0</v>
      </c>
      <c r="I55" s="311">
        <f t="shared" si="11"/>
        <v>0</v>
      </c>
      <c r="J55" s="311">
        <f t="shared" si="11"/>
        <v>0</v>
      </c>
      <c r="K55" s="311">
        <f t="shared" si="11"/>
        <v>0</v>
      </c>
      <c r="L55" s="311">
        <f t="shared" si="11"/>
        <v>0</v>
      </c>
      <c r="M55" s="311">
        <f t="shared" si="11"/>
        <v>0</v>
      </c>
      <c r="N55" s="311">
        <f t="shared" si="11"/>
        <v>0</v>
      </c>
      <c r="O55" s="311">
        <v>40</v>
      </c>
      <c r="P55" s="314">
        <v>50</v>
      </c>
      <c r="Q55" s="314">
        <f t="shared" si="1"/>
        <v>1210</v>
      </c>
      <c r="R55" s="321">
        <f t="shared" si="4"/>
        <v>57065</v>
      </c>
    </row>
    <row r="56" spans="2:18" ht="15.6">
      <c r="B56" s="261"/>
      <c r="C56" s="262" t="s">
        <v>95</v>
      </c>
      <c r="D56" s="263">
        <f t="shared" ref="D56:P58" si="12">+D165*D$110</f>
        <v>0</v>
      </c>
      <c r="E56" s="264">
        <f t="shared" si="12"/>
        <v>0</v>
      </c>
      <c r="F56" s="264">
        <f t="shared" si="12"/>
        <v>0</v>
      </c>
      <c r="G56" s="264">
        <f t="shared" si="12"/>
        <v>0</v>
      </c>
      <c r="H56" s="264">
        <f t="shared" si="12"/>
        <v>0</v>
      </c>
      <c r="I56" s="263">
        <f t="shared" si="12"/>
        <v>0</v>
      </c>
      <c r="J56" s="263">
        <f t="shared" si="12"/>
        <v>0</v>
      </c>
      <c r="K56" s="263">
        <f t="shared" si="12"/>
        <v>0</v>
      </c>
      <c r="L56" s="263">
        <f t="shared" si="12"/>
        <v>0</v>
      </c>
      <c r="M56" s="263">
        <f t="shared" si="12"/>
        <v>0</v>
      </c>
      <c r="N56" s="263">
        <f t="shared" si="12"/>
        <v>0</v>
      </c>
      <c r="O56" s="263">
        <f t="shared" si="12"/>
        <v>0</v>
      </c>
      <c r="P56" s="266">
        <f t="shared" si="12"/>
        <v>0</v>
      </c>
      <c r="Q56" s="266">
        <f t="shared" si="1"/>
        <v>0</v>
      </c>
      <c r="R56" s="267">
        <f t="shared" si="4"/>
        <v>57065</v>
      </c>
    </row>
    <row r="57" spans="2:18" ht="15.6">
      <c r="B57" s="261"/>
      <c r="C57" s="262" t="s">
        <v>96</v>
      </c>
      <c r="D57" s="263">
        <f t="shared" si="12"/>
        <v>0</v>
      </c>
      <c r="E57" s="264">
        <f t="shared" si="12"/>
        <v>0</v>
      </c>
      <c r="F57" s="264">
        <v>0</v>
      </c>
      <c r="G57" s="264">
        <v>0</v>
      </c>
      <c r="H57" s="264">
        <f t="shared" si="12"/>
        <v>0</v>
      </c>
      <c r="I57" s="263">
        <v>0</v>
      </c>
      <c r="J57" s="263">
        <f t="shared" si="12"/>
        <v>0</v>
      </c>
      <c r="K57" s="263">
        <f t="shared" si="12"/>
        <v>0</v>
      </c>
      <c r="L57" s="263">
        <f t="shared" si="12"/>
        <v>0</v>
      </c>
      <c r="M57" s="263">
        <f t="shared" si="12"/>
        <v>0</v>
      </c>
      <c r="N57" s="263">
        <f t="shared" si="12"/>
        <v>0</v>
      </c>
      <c r="O57" s="263">
        <v>0</v>
      </c>
      <c r="P57" s="266">
        <f t="shared" si="12"/>
        <v>0</v>
      </c>
      <c r="Q57" s="266">
        <f t="shared" si="1"/>
        <v>0</v>
      </c>
      <c r="R57" s="267">
        <f t="shared" si="4"/>
        <v>57065</v>
      </c>
    </row>
    <row r="58" spans="2:18" ht="15.6">
      <c r="B58" s="261">
        <v>47</v>
      </c>
      <c r="C58" s="262" t="s">
        <v>98</v>
      </c>
      <c r="D58" s="263">
        <v>540</v>
      </c>
      <c r="E58" s="264">
        <v>0</v>
      </c>
      <c r="F58" s="264">
        <v>0</v>
      </c>
      <c r="G58" s="264">
        <v>860</v>
      </c>
      <c r="H58" s="264">
        <v>3860</v>
      </c>
      <c r="I58" s="263">
        <v>0</v>
      </c>
      <c r="J58" s="263">
        <f t="shared" si="12"/>
        <v>0</v>
      </c>
      <c r="K58" s="263">
        <f t="shared" si="12"/>
        <v>0</v>
      </c>
      <c r="L58" s="263">
        <f t="shared" si="12"/>
        <v>0</v>
      </c>
      <c r="M58" s="263">
        <f t="shared" si="12"/>
        <v>0</v>
      </c>
      <c r="N58" s="263">
        <v>0</v>
      </c>
      <c r="O58" s="263">
        <v>740</v>
      </c>
      <c r="P58" s="266">
        <v>790</v>
      </c>
      <c r="Q58" s="266">
        <f t="shared" si="1"/>
        <v>6790</v>
      </c>
      <c r="R58" s="267">
        <f t="shared" si="4"/>
        <v>63855</v>
      </c>
    </row>
    <row r="59" spans="2:18" ht="15.6">
      <c r="B59" s="271"/>
      <c r="C59" s="262" t="s">
        <v>99</v>
      </c>
      <c r="D59" s="263">
        <f t="shared" ref="D59:P65" si="13">+D168*D$110</f>
        <v>0</v>
      </c>
      <c r="E59" s="264">
        <f t="shared" si="13"/>
        <v>0</v>
      </c>
      <c r="F59" s="264">
        <v>0</v>
      </c>
      <c r="G59" s="264">
        <v>1780</v>
      </c>
      <c r="H59" s="264">
        <v>0</v>
      </c>
      <c r="I59" s="263">
        <v>620</v>
      </c>
      <c r="J59" s="263">
        <v>200</v>
      </c>
      <c r="K59" s="263">
        <f t="shared" si="13"/>
        <v>0</v>
      </c>
      <c r="L59" s="263">
        <v>0</v>
      </c>
      <c r="M59" s="263">
        <f t="shared" si="13"/>
        <v>0</v>
      </c>
      <c r="N59" s="263">
        <v>0</v>
      </c>
      <c r="O59" s="263">
        <f t="shared" si="13"/>
        <v>0</v>
      </c>
      <c r="P59" s="266">
        <v>40</v>
      </c>
      <c r="Q59" s="266">
        <f t="shared" si="1"/>
        <v>2640</v>
      </c>
      <c r="R59" s="267">
        <f t="shared" si="4"/>
        <v>66495</v>
      </c>
    </row>
    <row r="60" spans="2:18" ht="15.6">
      <c r="B60" s="261"/>
      <c r="C60" s="262" t="s">
        <v>100</v>
      </c>
      <c r="D60" s="263">
        <f t="shared" si="13"/>
        <v>0</v>
      </c>
      <c r="E60" s="264">
        <f t="shared" si="13"/>
        <v>0</v>
      </c>
      <c r="F60" s="264">
        <v>0</v>
      </c>
      <c r="G60" s="264">
        <f t="shared" si="13"/>
        <v>0</v>
      </c>
      <c r="H60" s="264">
        <v>0</v>
      </c>
      <c r="I60" s="263">
        <f t="shared" si="13"/>
        <v>0</v>
      </c>
      <c r="J60" s="263">
        <f t="shared" si="13"/>
        <v>0</v>
      </c>
      <c r="K60" s="263">
        <f t="shared" si="13"/>
        <v>0</v>
      </c>
      <c r="L60" s="263">
        <v>0</v>
      </c>
      <c r="M60" s="263">
        <f t="shared" si="13"/>
        <v>0</v>
      </c>
      <c r="N60" s="263">
        <v>0</v>
      </c>
      <c r="O60" s="263">
        <v>0</v>
      </c>
      <c r="P60" s="266">
        <f t="shared" si="13"/>
        <v>0</v>
      </c>
      <c r="Q60" s="266">
        <f t="shared" si="1"/>
        <v>0</v>
      </c>
      <c r="R60" s="267">
        <f t="shared" si="4"/>
        <v>66495</v>
      </c>
    </row>
    <row r="61" spans="2:18" ht="16.2" thickBot="1">
      <c r="B61" s="247"/>
      <c r="C61" s="248" t="s">
        <v>101</v>
      </c>
      <c r="D61" s="249">
        <f t="shared" si="13"/>
        <v>0</v>
      </c>
      <c r="E61" s="250">
        <f t="shared" si="13"/>
        <v>0</v>
      </c>
      <c r="F61" s="250">
        <v>0</v>
      </c>
      <c r="G61" s="250">
        <v>0</v>
      </c>
      <c r="H61" s="250">
        <v>0</v>
      </c>
      <c r="I61" s="249">
        <f t="shared" si="13"/>
        <v>0</v>
      </c>
      <c r="J61" s="249">
        <v>0</v>
      </c>
      <c r="K61" s="249">
        <f t="shared" si="13"/>
        <v>0</v>
      </c>
      <c r="L61" s="249">
        <f t="shared" si="13"/>
        <v>0</v>
      </c>
      <c r="M61" s="249">
        <f t="shared" si="13"/>
        <v>0</v>
      </c>
      <c r="N61" s="249">
        <f t="shared" si="13"/>
        <v>0</v>
      </c>
      <c r="O61" s="249">
        <f t="shared" si="13"/>
        <v>0</v>
      </c>
      <c r="P61" s="252">
        <f t="shared" si="13"/>
        <v>0</v>
      </c>
      <c r="Q61" s="252">
        <f t="shared" si="1"/>
        <v>0</v>
      </c>
      <c r="R61" s="253">
        <f t="shared" si="4"/>
        <v>66495</v>
      </c>
    </row>
    <row r="62" spans="2:18" ht="15.6">
      <c r="B62" s="254"/>
      <c r="C62" s="255" t="s">
        <v>102</v>
      </c>
      <c r="D62" s="256">
        <v>0</v>
      </c>
      <c r="E62" s="257">
        <f t="shared" si="13"/>
        <v>0</v>
      </c>
      <c r="F62" s="257">
        <v>0</v>
      </c>
      <c r="G62" s="257">
        <v>0</v>
      </c>
      <c r="H62" s="257">
        <v>3040</v>
      </c>
      <c r="I62" s="256">
        <v>0</v>
      </c>
      <c r="J62" s="256">
        <v>4360</v>
      </c>
      <c r="K62" s="256">
        <f t="shared" si="13"/>
        <v>0</v>
      </c>
      <c r="L62" s="256">
        <f t="shared" si="13"/>
        <v>0</v>
      </c>
      <c r="M62" s="256">
        <f t="shared" si="13"/>
        <v>0</v>
      </c>
      <c r="N62" s="256">
        <f t="shared" si="13"/>
        <v>0</v>
      </c>
      <c r="O62" s="256">
        <v>3040</v>
      </c>
      <c r="P62" s="259">
        <v>0</v>
      </c>
      <c r="Q62" s="259">
        <f t="shared" si="1"/>
        <v>10440</v>
      </c>
      <c r="R62" s="260">
        <f t="shared" si="4"/>
        <v>76935</v>
      </c>
    </row>
    <row r="63" spans="2:18" ht="15.6">
      <c r="B63" s="261"/>
      <c r="C63" s="262" t="s">
        <v>103</v>
      </c>
      <c r="D63" s="263">
        <v>40</v>
      </c>
      <c r="E63" s="264">
        <f t="shared" si="13"/>
        <v>0</v>
      </c>
      <c r="F63" s="264">
        <v>940</v>
      </c>
      <c r="G63" s="264">
        <f t="shared" si="13"/>
        <v>0</v>
      </c>
      <c r="H63" s="264">
        <v>0</v>
      </c>
      <c r="I63" s="263">
        <v>3620</v>
      </c>
      <c r="J63" s="263">
        <f t="shared" si="13"/>
        <v>0</v>
      </c>
      <c r="K63" s="263">
        <f t="shared" si="13"/>
        <v>0</v>
      </c>
      <c r="L63" s="263">
        <v>4000</v>
      </c>
      <c r="M63" s="263">
        <f t="shared" si="13"/>
        <v>0</v>
      </c>
      <c r="N63" s="263">
        <f t="shared" si="13"/>
        <v>0</v>
      </c>
      <c r="O63" s="263">
        <f t="shared" si="13"/>
        <v>0</v>
      </c>
      <c r="P63" s="266">
        <v>540</v>
      </c>
      <c r="Q63" s="266">
        <f t="shared" si="1"/>
        <v>9140</v>
      </c>
      <c r="R63" s="267">
        <f t="shared" si="4"/>
        <v>86075</v>
      </c>
    </row>
    <row r="64" spans="2:18" ht="15.6">
      <c r="B64" s="261"/>
      <c r="C64" s="262" t="s">
        <v>104</v>
      </c>
      <c r="D64" s="263">
        <v>60</v>
      </c>
      <c r="E64" s="264">
        <f t="shared" si="13"/>
        <v>0</v>
      </c>
      <c r="F64" s="264">
        <f t="shared" si="13"/>
        <v>0</v>
      </c>
      <c r="G64" s="264">
        <v>2040</v>
      </c>
      <c r="H64" s="264">
        <f t="shared" si="13"/>
        <v>0</v>
      </c>
      <c r="I64" s="263">
        <v>3840</v>
      </c>
      <c r="J64" s="263">
        <f t="shared" si="13"/>
        <v>0</v>
      </c>
      <c r="K64" s="263">
        <v>0</v>
      </c>
      <c r="L64" s="263">
        <v>400</v>
      </c>
      <c r="M64" s="263">
        <v>460</v>
      </c>
      <c r="N64" s="263">
        <v>4820</v>
      </c>
      <c r="O64" s="263">
        <f t="shared" si="13"/>
        <v>0</v>
      </c>
      <c r="P64" s="266">
        <v>1460</v>
      </c>
      <c r="Q64" s="266">
        <f t="shared" si="1"/>
        <v>13080</v>
      </c>
      <c r="R64" s="267">
        <f t="shared" si="4"/>
        <v>99155</v>
      </c>
    </row>
    <row r="65" spans="2:18" ht="15.6">
      <c r="B65" s="261">
        <v>48</v>
      </c>
      <c r="C65" s="262" t="s">
        <v>105</v>
      </c>
      <c r="D65" s="263">
        <v>1020</v>
      </c>
      <c r="E65" s="264">
        <f t="shared" si="13"/>
        <v>0</v>
      </c>
      <c r="F65" s="264">
        <v>4980</v>
      </c>
      <c r="G65" s="264">
        <v>1500</v>
      </c>
      <c r="H65" s="264">
        <v>280</v>
      </c>
      <c r="I65" s="266">
        <v>0</v>
      </c>
      <c r="J65" s="263">
        <v>4420</v>
      </c>
      <c r="K65" s="263">
        <v>0</v>
      </c>
      <c r="L65" s="266">
        <v>0</v>
      </c>
      <c r="M65" s="263">
        <v>0</v>
      </c>
      <c r="N65" s="263">
        <v>0</v>
      </c>
      <c r="O65" s="263">
        <v>2960</v>
      </c>
      <c r="P65" s="266">
        <v>0</v>
      </c>
      <c r="Q65" s="266">
        <f t="shared" si="1"/>
        <v>15160</v>
      </c>
      <c r="R65" s="267">
        <f t="shared" si="4"/>
        <v>114315</v>
      </c>
    </row>
    <row r="66" spans="2:18" ht="15.6">
      <c r="B66" s="271"/>
      <c r="C66" s="262" t="s">
        <v>106</v>
      </c>
      <c r="D66" s="263">
        <f t="shared" ref="D66:P69" si="14">+D175*D$110</f>
        <v>0</v>
      </c>
      <c r="E66" s="264">
        <f t="shared" si="14"/>
        <v>0</v>
      </c>
      <c r="F66" s="264">
        <f t="shared" si="14"/>
        <v>0</v>
      </c>
      <c r="G66" s="264">
        <v>3300</v>
      </c>
      <c r="H66" s="264">
        <f t="shared" si="14"/>
        <v>0</v>
      </c>
      <c r="I66" s="266">
        <v>0</v>
      </c>
      <c r="J66" s="263">
        <f t="shared" si="14"/>
        <v>0</v>
      </c>
      <c r="K66" s="263">
        <f t="shared" si="14"/>
        <v>0</v>
      </c>
      <c r="L66" s="263">
        <v>0</v>
      </c>
      <c r="M66" s="263">
        <f t="shared" si="14"/>
        <v>0</v>
      </c>
      <c r="N66" s="263">
        <v>0</v>
      </c>
      <c r="O66" s="263">
        <v>3620</v>
      </c>
      <c r="P66" s="266">
        <f t="shared" si="14"/>
        <v>0</v>
      </c>
      <c r="Q66" s="266">
        <f t="shared" si="1"/>
        <v>6920</v>
      </c>
      <c r="R66" s="267">
        <f t="shared" si="4"/>
        <v>121235</v>
      </c>
    </row>
    <row r="67" spans="2:18" ht="15.6">
      <c r="B67" s="261"/>
      <c r="C67" s="262" t="s">
        <v>107</v>
      </c>
      <c r="D67" s="263">
        <f t="shared" si="14"/>
        <v>0</v>
      </c>
      <c r="E67" s="264">
        <f t="shared" si="14"/>
        <v>0</v>
      </c>
      <c r="F67" s="264">
        <f t="shared" si="14"/>
        <v>0</v>
      </c>
      <c r="G67" s="264">
        <f t="shared" si="14"/>
        <v>0</v>
      </c>
      <c r="H67" s="264">
        <f t="shared" si="14"/>
        <v>0</v>
      </c>
      <c r="I67" s="263">
        <v>0</v>
      </c>
      <c r="J67" s="263">
        <f t="shared" si="14"/>
        <v>0</v>
      </c>
      <c r="K67" s="263">
        <f t="shared" si="14"/>
        <v>0</v>
      </c>
      <c r="L67" s="266">
        <v>0</v>
      </c>
      <c r="M67" s="263">
        <f t="shared" si="14"/>
        <v>0</v>
      </c>
      <c r="N67" s="263">
        <f t="shared" si="14"/>
        <v>0</v>
      </c>
      <c r="O67" s="263">
        <f t="shared" si="14"/>
        <v>0</v>
      </c>
      <c r="P67" s="266">
        <f t="shared" si="14"/>
        <v>0</v>
      </c>
      <c r="Q67" s="266">
        <f t="shared" si="1"/>
        <v>0</v>
      </c>
      <c r="R67" s="267">
        <f t="shared" si="4"/>
        <v>121235</v>
      </c>
    </row>
    <row r="68" spans="2:18" ht="16.2" thickBot="1">
      <c r="B68" s="247"/>
      <c r="C68" s="248" t="s">
        <v>108</v>
      </c>
      <c r="D68" s="249">
        <f t="shared" si="14"/>
        <v>0</v>
      </c>
      <c r="E68" s="250">
        <f t="shared" si="14"/>
        <v>0</v>
      </c>
      <c r="F68" s="250">
        <f t="shared" si="14"/>
        <v>0</v>
      </c>
      <c r="G68" s="250">
        <f t="shared" si="14"/>
        <v>0</v>
      </c>
      <c r="H68" s="250">
        <f t="shared" si="14"/>
        <v>0</v>
      </c>
      <c r="I68" s="249">
        <f t="shared" si="14"/>
        <v>0</v>
      </c>
      <c r="J68" s="249">
        <v>0</v>
      </c>
      <c r="K68" s="249">
        <f t="shared" si="14"/>
        <v>0</v>
      </c>
      <c r="L68" s="249">
        <v>0</v>
      </c>
      <c r="M68" s="249">
        <f t="shared" si="14"/>
        <v>0</v>
      </c>
      <c r="N68" s="249">
        <f t="shared" si="14"/>
        <v>0</v>
      </c>
      <c r="O68" s="249">
        <f t="shared" si="14"/>
        <v>0</v>
      </c>
      <c r="P68" s="252">
        <f t="shared" si="14"/>
        <v>0</v>
      </c>
      <c r="Q68" s="252">
        <f t="shared" si="1"/>
        <v>0</v>
      </c>
      <c r="R68" s="253">
        <f t="shared" si="4"/>
        <v>121235</v>
      </c>
    </row>
    <row r="69" spans="2:18" ht="15.6">
      <c r="B69" s="254"/>
      <c r="C69" s="255" t="s">
        <v>109</v>
      </c>
      <c r="D69" s="256">
        <f t="shared" si="14"/>
        <v>0</v>
      </c>
      <c r="E69" s="257">
        <v>300</v>
      </c>
      <c r="F69" s="257">
        <v>5100</v>
      </c>
      <c r="G69" s="257">
        <v>0</v>
      </c>
      <c r="H69" s="257">
        <v>0</v>
      </c>
      <c r="I69" s="256">
        <v>7020</v>
      </c>
      <c r="J69" s="256">
        <v>0</v>
      </c>
      <c r="K69" s="256">
        <v>0</v>
      </c>
      <c r="L69" s="256">
        <v>7260</v>
      </c>
      <c r="M69" s="256">
        <v>0</v>
      </c>
      <c r="N69" s="256">
        <v>0</v>
      </c>
      <c r="O69" s="256">
        <v>0</v>
      </c>
      <c r="P69" s="259">
        <v>0</v>
      </c>
      <c r="Q69" s="259">
        <f t="shared" ref="Q69:Q91" si="15">SUM(D69:P69)</f>
        <v>19680</v>
      </c>
      <c r="R69" s="260">
        <f t="shared" si="4"/>
        <v>140915</v>
      </c>
    </row>
    <row r="70" spans="2:18" ht="15.6">
      <c r="B70" s="261"/>
      <c r="C70" s="262" t="s">
        <v>110</v>
      </c>
      <c r="D70" s="263">
        <v>0</v>
      </c>
      <c r="E70" s="264">
        <v>1460</v>
      </c>
      <c r="F70" s="264">
        <v>7820</v>
      </c>
      <c r="G70" s="264">
        <v>0</v>
      </c>
      <c r="H70" s="264">
        <v>0</v>
      </c>
      <c r="I70" s="263">
        <v>0</v>
      </c>
      <c r="J70" s="263">
        <v>0</v>
      </c>
      <c r="K70" s="263">
        <v>0</v>
      </c>
      <c r="L70" s="263">
        <v>9680</v>
      </c>
      <c r="M70" s="263">
        <v>0</v>
      </c>
      <c r="N70" s="263">
        <v>0</v>
      </c>
      <c r="O70" s="263">
        <v>0</v>
      </c>
      <c r="P70" s="266">
        <v>0</v>
      </c>
      <c r="Q70" s="266">
        <f t="shared" si="15"/>
        <v>18960</v>
      </c>
      <c r="R70" s="267">
        <f t="shared" si="4"/>
        <v>159875</v>
      </c>
    </row>
    <row r="71" spans="2:18" ht="15.6">
      <c r="B71" s="261"/>
      <c r="C71" s="262" t="s">
        <v>111</v>
      </c>
      <c r="D71" s="263">
        <v>0</v>
      </c>
      <c r="E71" s="264">
        <v>0</v>
      </c>
      <c r="F71" s="264">
        <v>0</v>
      </c>
      <c r="G71" s="264">
        <v>20</v>
      </c>
      <c r="H71" s="264">
        <v>0</v>
      </c>
      <c r="I71" s="263">
        <v>5000</v>
      </c>
      <c r="J71" s="263">
        <v>1540</v>
      </c>
      <c r="K71" s="263">
        <v>0</v>
      </c>
      <c r="L71" s="263">
        <v>11220</v>
      </c>
      <c r="M71" s="263">
        <v>0</v>
      </c>
      <c r="N71" s="263">
        <v>0</v>
      </c>
      <c r="O71" s="263">
        <v>0</v>
      </c>
      <c r="P71" s="266">
        <v>0</v>
      </c>
      <c r="Q71" s="266">
        <f t="shared" si="15"/>
        <v>17780</v>
      </c>
      <c r="R71" s="267">
        <f t="shared" si="4"/>
        <v>177655</v>
      </c>
    </row>
    <row r="72" spans="2:18" ht="15.6">
      <c r="B72" s="261">
        <v>49</v>
      </c>
      <c r="C72" s="262" t="s">
        <v>112</v>
      </c>
      <c r="D72" s="263">
        <v>0</v>
      </c>
      <c r="E72" s="264">
        <v>0</v>
      </c>
      <c r="F72" s="264">
        <v>0</v>
      </c>
      <c r="G72" s="264">
        <v>0</v>
      </c>
      <c r="H72" s="264">
        <v>0</v>
      </c>
      <c r="I72" s="263">
        <v>0</v>
      </c>
      <c r="J72" s="263">
        <v>1120</v>
      </c>
      <c r="K72" s="263">
        <v>0</v>
      </c>
      <c r="L72" s="263">
        <v>0</v>
      </c>
      <c r="M72" s="263">
        <v>160</v>
      </c>
      <c r="N72" s="263">
        <v>6500</v>
      </c>
      <c r="O72" s="263">
        <v>0</v>
      </c>
      <c r="P72" s="266">
        <v>8920</v>
      </c>
      <c r="Q72" s="266">
        <f t="shared" si="15"/>
        <v>16700</v>
      </c>
      <c r="R72" s="267">
        <f t="shared" ref="R72:R91" si="16">+Q72+R71</f>
        <v>194355</v>
      </c>
    </row>
    <row r="73" spans="2:18" ht="15.6">
      <c r="B73" s="271"/>
      <c r="C73" s="262" t="s">
        <v>113</v>
      </c>
      <c r="D73" s="263">
        <v>0</v>
      </c>
      <c r="E73" s="264">
        <f t="shared" ref="E73:P87" si="17">+E182*E$110</f>
        <v>0</v>
      </c>
      <c r="F73" s="264">
        <f t="shared" si="17"/>
        <v>0</v>
      </c>
      <c r="G73" s="264">
        <v>2100</v>
      </c>
      <c r="H73" s="264">
        <f t="shared" si="17"/>
        <v>0</v>
      </c>
      <c r="I73" s="263">
        <f t="shared" si="17"/>
        <v>0</v>
      </c>
      <c r="J73" s="263">
        <v>3660</v>
      </c>
      <c r="K73" s="263">
        <f t="shared" si="17"/>
        <v>0</v>
      </c>
      <c r="L73" s="263">
        <f t="shared" si="17"/>
        <v>0</v>
      </c>
      <c r="M73" s="263">
        <v>1420</v>
      </c>
      <c r="N73" s="263">
        <v>4180</v>
      </c>
      <c r="O73" s="263">
        <v>900</v>
      </c>
      <c r="P73" s="266">
        <f t="shared" si="17"/>
        <v>0</v>
      </c>
      <c r="Q73" s="266">
        <f t="shared" si="15"/>
        <v>12260</v>
      </c>
      <c r="R73" s="267">
        <f t="shared" si="16"/>
        <v>206615</v>
      </c>
    </row>
    <row r="74" spans="2:18" ht="15.6">
      <c r="B74" s="261"/>
      <c r="C74" s="262" t="s">
        <v>114</v>
      </c>
      <c r="D74" s="263">
        <v>0</v>
      </c>
      <c r="E74" s="264">
        <f t="shared" si="17"/>
        <v>0</v>
      </c>
      <c r="F74" s="264">
        <f t="shared" si="17"/>
        <v>0</v>
      </c>
      <c r="G74" s="264">
        <f t="shared" si="17"/>
        <v>0</v>
      </c>
      <c r="H74" s="264">
        <f t="shared" si="17"/>
        <v>0</v>
      </c>
      <c r="I74" s="263">
        <f t="shared" si="17"/>
        <v>0</v>
      </c>
      <c r="J74" s="263">
        <f t="shared" si="17"/>
        <v>0</v>
      </c>
      <c r="K74" s="263">
        <f t="shared" si="17"/>
        <v>0</v>
      </c>
      <c r="L74" s="263">
        <f t="shared" si="17"/>
        <v>0</v>
      </c>
      <c r="M74" s="263">
        <f t="shared" si="17"/>
        <v>0</v>
      </c>
      <c r="N74" s="263">
        <f t="shared" si="17"/>
        <v>0</v>
      </c>
      <c r="O74" s="263">
        <f t="shared" si="17"/>
        <v>0</v>
      </c>
      <c r="P74" s="265">
        <f t="shared" si="17"/>
        <v>0</v>
      </c>
      <c r="Q74" s="266">
        <f t="shared" si="15"/>
        <v>0</v>
      </c>
      <c r="R74" s="267">
        <f t="shared" si="16"/>
        <v>206615</v>
      </c>
    </row>
    <row r="75" spans="2:18" ht="16.2" thickBot="1">
      <c r="B75" s="247"/>
      <c r="C75" s="248" t="s">
        <v>115</v>
      </c>
      <c r="D75" s="249">
        <v>0</v>
      </c>
      <c r="E75" s="250">
        <f t="shared" si="17"/>
        <v>0</v>
      </c>
      <c r="F75" s="250">
        <f t="shared" si="17"/>
        <v>0</v>
      </c>
      <c r="G75" s="250">
        <f t="shared" si="17"/>
        <v>0</v>
      </c>
      <c r="H75" s="250">
        <f t="shared" si="17"/>
        <v>0</v>
      </c>
      <c r="I75" s="249">
        <f t="shared" si="17"/>
        <v>0</v>
      </c>
      <c r="J75" s="249">
        <f t="shared" si="17"/>
        <v>0</v>
      </c>
      <c r="K75" s="249">
        <f t="shared" si="17"/>
        <v>0</v>
      </c>
      <c r="L75" s="249">
        <f t="shared" si="17"/>
        <v>0</v>
      </c>
      <c r="M75" s="249">
        <f t="shared" si="17"/>
        <v>0</v>
      </c>
      <c r="N75" s="249">
        <f t="shared" si="17"/>
        <v>0</v>
      </c>
      <c r="O75" s="249">
        <f t="shared" si="17"/>
        <v>0</v>
      </c>
      <c r="P75" s="251">
        <f t="shared" si="17"/>
        <v>0</v>
      </c>
      <c r="Q75" s="252">
        <f t="shared" si="15"/>
        <v>0</v>
      </c>
      <c r="R75" s="253">
        <f t="shared" si="16"/>
        <v>206615</v>
      </c>
    </row>
    <row r="76" spans="2:18" ht="15.6">
      <c r="B76" s="254"/>
      <c r="C76" s="255" t="s">
        <v>116</v>
      </c>
      <c r="D76" s="263">
        <v>33320</v>
      </c>
      <c r="E76" s="257">
        <f t="shared" si="17"/>
        <v>0</v>
      </c>
      <c r="F76" s="257">
        <v>65</v>
      </c>
      <c r="G76" s="257">
        <f t="shared" si="17"/>
        <v>0</v>
      </c>
      <c r="H76" s="257">
        <f t="shared" si="17"/>
        <v>0</v>
      </c>
      <c r="I76" s="256">
        <f t="shared" si="17"/>
        <v>0</v>
      </c>
      <c r="J76" s="256">
        <f t="shared" si="17"/>
        <v>0</v>
      </c>
      <c r="K76" s="256">
        <f t="shared" si="17"/>
        <v>0</v>
      </c>
      <c r="L76" s="256">
        <f t="shared" si="17"/>
        <v>0</v>
      </c>
      <c r="M76" s="256">
        <f t="shared" si="17"/>
        <v>0</v>
      </c>
      <c r="N76" s="256">
        <f t="shared" si="17"/>
        <v>0</v>
      </c>
      <c r="O76" s="256">
        <f t="shared" si="17"/>
        <v>0</v>
      </c>
      <c r="P76" s="258">
        <f t="shared" si="17"/>
        <v>0</v>
      </c>
      <c r="Q76" s="259">
        <f t="shared" si="15"/>
        <v>33385</v>
      </c>
      <c r="R76" s="260">
        <f t="shared" si="16"/>
        <v>240000</v>
      </c>
    </row>
    <row r="77" spans="2:18" ht="15.6">
      <c r="B77" s="261"/>
      <c r="C77" s="262" t="s">
        <v>117</v>
      </c>
      <c r="D77" s="263">
        <v>28740</v>
      </c>
      <c r="E77" s="264">
        <f t="shared" si="17"/>
        <v>0</v>
      </c>
      <c r="F77" s="264">
        <f t="shared" si="17"/>
        <v>0</v>
      </c>
      <c r="G77" s="264">
        <f t="shared" si="17"/>
        <v>0</v>
      </c>
      <c r="H77" s="264">
        <f t="shared" si="17"/>
        <v>0</v>
      </c>
      <c r="I77" s="263">
        <f t="shared" si="17"/>
        <v>0</v>
      </c>
      <c r="J77" s="263">
        <f t="shared" si="17"/>
        <v>0</v>
      </c>
      <c r="K77" s="263">
        <f t="shared" si="17"/>
        <v>0</v>
      </c>
      <c r="L77" s="263">
        <f t="shared" si="17"/>
        <v>0</v>
      </c>
      <c r="M77" s="263">
        <f t="shared" si="17"/>
        <v>0</v>
      </c>
      <c r="N77" s="263">
        <f t="shared" si="17"/>
        <v>0</v>
      </c>
      <c r="O77" s="263">
        <f t="shared" si="17"/>
        <v>0</v>
      </c>
      <c r="P77" s="265">
        <f t="shared" si="17"/>
        <v>0</v>
      </c>
      <c r="Q77" s="266">
        <f t="shared" si="15"/>
        <v>28740</v>
      </c>
      <c r="R77" s="267">
        <f t="shared" si="16"/>
        <v>268740</v>
      </c>
    </row>
    <row r="78" spans="2:18" ht="15.6">
      <c r="B78" s="261"/>
      <c r="C78" s="262" t="s">
        <v>118</v>
      </c>
      <c r="D78" s="263">
        <v>31540</v>
      </c>
      <c r="E78" s="264">
        <f t="shared" si="17"/>
        <v>0</v>
      </c>
      <c r="F78" s="264">
        <f t="shared" si="17"/>
        <v>0</v>
      </c>
      <c r="G78" s="264">
        <f t="shared" si="17"/>
        <v>0</v>
      </c>
      <c r="H78" s="264">
        <f t="shared" si="17"/>
        <v>0</v>
      </c>
      <c r="I78" s="263">
        <f t="shared" si="17"/>
        <v>0</v>
      </c>
      <c r="J78" s="263">
        <f t="shared" si="17"/>
        <v>0</v>
      </c>
      <c r="K78" s="263">
        <f t="shared" si="17"/>
        <v>0</v>
      </c>
      <c r="L78" s="263">
        <f t="shared" si="17"/>
        <v>0</v>
      </c>
      <c r="M78" s="263">
        <f t="shared" si="17"/>
        <v>0</v>
      </c>
      <c r="N78" s="263">
        <f t="shared" si="17"/>
        <v>0</v>
      </c>
      <c r="O78" s="263">
        <f t="shared" si="17"/>
        <v>0</v>
      </c>
      <c r="P78" s="265">
        <f t="shared" si="17"/>
        <v>0</v>
      </c>
      <c r="Q78" s="266">
        <f t="shared" si="15"/>
        <v>31540</v>
      </c>
      <c r="R78" s="267">
        <f t="shared" si="16"/>
        <v>300280</v>
      </c>
    </row>
    <row r="79" spans="2:18" ht="15.6">
      <c r="B79" s="261">
        <v>50</v>
      </c>
      <c r="C79" s="262" t="s">
        <v>119</v>
      </c>
      <c r="D79" s="263">
        <v>31760</v>
      </c>
      <c r="E79" s="264">
        <f t="shared" si="17"/>
        <v>0</v>
      </c>
      <c r="F79" s="264">
        <f t="shared" si="17"/>
        <v>0</v>
      </c>
      <c r="G79" s="264">
        <f t="shared" si="17"/>
        <v>0</v>
      </c>
      <c r="H79" s="264">
        <f t="shared" si="17"/>
        <v>0</v>
      </c>
      <c r="I79" s="263">
        <f t="shared" si="17"/>
        <v>0</v>
      </c>
      <c r="J79" s="263">
        <f t="shared" si="17"/>
        <v>0</v>
      </c>
      <c r="K79" s="263">
        <f t="shared" si="17"/>
        <v>0</v>
      </c>
      <c r="L79" s="263">
        <f t="shared" si="17"/>
        <v>0</v>
      </c>
      <c r="M79" s="263">
        <f t="shared" si="17"/>
        <v>0</v>
      </c>
      <c r="N79" s="263">
        <f t="shared" si="17"/>
        <v>0</v>
      </c>
      <c r="O79" s="263">
        <f t="shared" si="17"/>
        <v>0</v>
      </c>
      <c r="P79" s="265">
        <f t="shared" si="17"/>
        <v>0</v>
      </c>
      <c r="Q79" s="266">
        <f t="shared" si="15"/>
        <v>31760</v>
      </c>
      <c r="R79" s="267">
        <f t="shared" si="16"/>
        <v>332040</v>
      </c>
    </row>
    <row r="80" spans="2:18" ht="15.6">
      <c r="B80" s="271"/>
      <c r="C80" s="262" t="s">
        <v>120</v>
      </c>
      <c r="D80" s="263">
        <v>29680</v>
      </c>
      <c r="E80" s="264">
        <f t="shared" si="17"/>
        <v>0</v>
      </c>
      <c r="F80" s="264">
        <f t="shared" si="17"/>
        <v>0</v>
      </c>
      <c r="G80" s="264">
        <f t="shared" si="17"/>
        <v>0</v>
      </c>
      <c r="H80" s="264">
        <f t="shared" si="17"/>
        <v>0</v>
      </c>
      <c r="I80" s="263">
        <f t="shared" si="17"/>
        <v>0</v>
      </c>
      <c r="J80" s="263">
        <f t="shared" si="17"/>
        <v>0</v>
      </c>
      <c r="K80" s="263">
        <f t="shared" si="17"/>
        <v>0</v>
      </c>
      <c r="L80" s="263">
        <f t="shared" si="17"/>
        <v>0</v>
      </c>
      <c r="M80" s="263">
        <f t="shared" si="17"/>
        <v>0</v>
      </c>
      <c r="N80" s="263">
        <f t="shared" si="17"/>
        <v>0</v>
      </c>
      <c r="O80" s="263">
        <f t="shared" si="17"/>
        <v>0</v>
      </c>
      <c r="P80" s="265">
        <f t="shared" si="17"/>
        <v>0</v>
      </c>
      <c r="Q80" s="266">
        <f t="shared" si="15"/>
        <v>29680</v>
      </c>
      <c r="R80" s="267">
        <f t="shared" si="16"/>
        <v>361720</v>
      </c>
    </row>
    <row r="81" spans="2:18" ht="15.6">
      <c r="B81" s="261"/>
      <c r="C81" s="262" t="s">
        <v>121</v>
      </c>
      <c r="D81" s="263">
        <v>17140</v>
      </c>
      <c r="E81" s="264">
        <f t="shared" si="17"/>
        <v>0</v>
      </c>
      <c r="F81" s="264">
        <f t="shared" si="17"/>
        <v>0</v>
      </c>
      <c r="G81" s="264">
        <f t="shared" si="17"/>
        <v>0</v>
      </c>
      <c r="H81" s="264">
        <f t="shared" si="17"/>
        <v>0</v>
      </c>
      <c r="I81" s="263">
        <f t="shared" si="17"/>
        <v>0</v>
      </c>
      <c r="J81" s="263">
        <f t="shared" si="17"/>
        <v>0</v>
      </c>
      <c r="K81" s="263">
        <f t="shared" si="17"/>
        <v>0</v>
      </c>
      <c r="L81" s="263">
        <f t="shared" si="17"/>
        <v>0</v>
      </c>
      <c r="M81" s="263">
        <f t="shared" si="17"/>
        <v>0</v>
      </c>
      <c r="N81" s="263">
        <f t="shared" si="17"/>
        <v>0</v>
      </c>
      <c r="O81" s="263">
        <f t="shared" si="17"/>
        <v>0</v>
      </c>
      <c r="P81" s="265">
        <f t="shared" si="17"/>
        <v>0</v>
      </c>
      <c r="Q81" s="266">
        <f t="shared" si="15"/>
        <v>17140</v>
      </c>
      <c r="R81" s="267">
        <f t="shared" si="16"/>
        <v>378860</v>
      </c>
    </row>
    <row r="82" spans="2:18" ht="16.2" thickBot="1">
      <c r="B82" s="247"/>
      <c r="C82" s="248" t="s">
        <v>122</v>
      </c>
      <c r="D82" s="249"/>
      <c r="E82" s="250">
        <f t="shared" si="17"/>
        <v>0</v>
      </c>
      <c r="F82" s="250">
        <f t="shared" si="17"/>
        <v>0</v>
      </c>
      <c r="G82" s="250">
        <f t="shared" si="17"/>
        <v>0</v>
      </c>
      <c r="H82" s="250">
        <f t="shared" si="17"/>
        <v>0</v>
      </c>
      <c r="I82" s="249">
        <f t="shared" si="17"/>
        <v>0</v>
      </c>
      <c r="J82" s="249">
        <f t="shared" si="17"/>
        <v>0</v>
      </c>
      <c r="K82" s="249">
        <f t="shared" si="17"/>
        <v>0</v>
      </c>
      <c r="L82" s="249">
        <f t="shared" si="17"/>
        <v>0</v>
      </c>
      <c r="M82" s="249">
        <f t="shared" si="17"/>
        <v>0</v>
      </c>
      <c r="N82" s="249">
        <f t="shared" si="17"/>
        <v>0</v>
      </c>
      <c r="O82" s="249">
        <f t="shared" si="17"/>
        <v>0</v>
      </c>
      <c r="P82" s="251">
        <f t="shared" si="17"/>
        <v>0</v>
      </c>
      <c r="Q82" s="252">
        <f t="shared" si="15"/>
        <v>0</v>
      </c>
      <c r="R82" s="253">
        <f t="shared" si="16"/>
        <v>378860</v>
      </c>
    </row>
    <row r="83" spans="2:18" ht="15.6">
      <c r="B83" s="261"/>
      <c r="C83" s="262" t="s">
        <v>123</v>
      </c>
      <c r="D83" s="256">
        <v>27000</v>
      </c>
      <c r="E83" s="257">
        <f t="shared" si="17"/>
        <v>0</v>
      </c>
      <c r="F83" s="257">
        <f t="shared" si="17"/>
        <v>0</v>
      </c>
      <c r="G83" s="257">
        <f t="shared" si="17"/>
        <v>0</v>
      </c>
      <c r="H83" s="257">
        <f t="shared" si="17"/>
        <v>0</v>
      </c>
      <c r="I83" s="256">
        <f t="shared" si="17"/>
        <v>0</v>
      </c>
      <c r="J83" s="256">
        <f t="shared" si="17"/>
        <v>0</v>
      </c>
      <c r="K83" s="256">
        <f t="shared" si="17"/>
        <v>0</v>
      </c>
      <c r="L83" s="256">
        <f t="shared" si="17"/>
        <v>0</v>
      </c>
      <c r="M83" s="256">
        <f t="shared" si="17"/>
        <v>0</v>
      </c>
      <c r="N83" s="256">
        <f t="shared" si="17"/>
        <v>0</v>
      </c>
      <c r="O83" s="256">
        <f t="shared" si="17"/>
        <v>0</v>
      </c>
      <c r="P83" s="258">
        <f t="shared" si="17"/>
        <v>0</v>
      </c>
      <c r="Q83" s="259">
        <f t="shared" si="15"/>
        <v>27000</v>
      </c>
      <c r="R83" s="260">
        <f t="shared" si="16"/>
        <v>405860</v>
      </c>
    </row>
    <row r="84" spans="2:18" ht="15.6">
      <c r="B84" s="261"/>
      <c r="C84" s="262" t="s">
        <v>124</v>
      </c>
      <c r="D84" s="263">
        <v>27000</v>
      </c>
      <c r="E84" s="264">
        <f t="shared" si="17"/>
        <v>0</v>
      </c>
      <c r="F84" s="264">
        <f t="shared" si="17"/>
        <v>0</v>
      </c>
      <c r="G84" s="264">
        <f t="shared" si="17"/>
        <v>0</v>
      </c>
      <c r="H84" s="264">
        <f t="shared" si="17"/>
        <v>0</v>
      </c>
      <c r="I84" s="263">
        <f t="shared" si="17"/>
        <v>0</v>
      </c>
      <c r="J84" s="263">
        <f t="shared" si="17"/>
        <v>0</v>
      </c>
      <c r="K84" s="263">
        <f t="shared" si="17"/>
        <v>0</v>
      </c>
      <c r="L84" s="263">
        <f t="shared" si="17"/>
        <v>0</v>
      </c>
      <c r="M84" s="263">
        <f t="shared" si="17"/>
        <v>0</v>
      </c>
      <c r="N84" s="263">
        <f t="shared" si="17"/>
        <v>0</v>
      </c>
      <c r="O84" s="263">
        <f t="shared" si="17"/>
        <v>0</v>
      </c>
      <c r="P84" s="265">
        <f t="shared" si="17"/>
        <v>0</v>
      </c>
      <c r="Q84" s="266">
        <f t="shared" si="15"/>
        <v>27000</v>
      </c>
      <c r="R84" s="267">
        <f t="shared" si="16"/>
        <v>432860</v>
      </c>
    </row>
    <row r="85" spans="2:18" ht="15.6">
      <c r="B85" s="261"/>
      <c r="C85" s="262" t="s">
        <v>125</v>
      </c>
      <c r="D85" s="263">
        <v>4000</v>
      </c>
      <c r="E85" s="264">
        <f t="shared" si="17"/>
        <v>0</v>
      </c>
      <c r="F85" s="264">
        <f t="shared" si="17"/>
        <v>0</v>
      </c>
      <c r="G85" s="264">
        <f t="shared" si="17"/>
        <v>0</v>
      </c>
      <c r="H85" s="264">
        <f t="shared" si="17"/>
        <v>0</v>
      </c>
      <c r="I85" s="263">
        <f t="shared" si="17"/>
        <v>0</v>
      </c>
      <c r="J85" s="263">
        <f t="shared" si="17"/>
        <v>0</v>
      </c>
      <c r="K85" s="263">
        <f t="shared" si="17"/>
        <v>0</v>
      </c>
      <c r="L85" s="263">
        <f t="shared" si="17"/>
        <v>0</v>
      </c>
      <c r="M85" s="263">
        <f t="shared" si="17"/>
        <v>0</v>
      </c>
      <c r="N85" s="263">
        <f t="shared" si="17"/>
        <v>0</v>
      </c>
      <c r="O85" s="263">
        <f t="shared" si="17"/>
        <v>0</v>
      </c>
      <c r="P85" s="265">
        <f t="shared" si="17"/>
        <v>0</v>
      </c>
      <c r="Q85" s="266">
        <f t="shared" si="15"/>
        <v>4000</v>
      </c>
      <c r="R85" s="267">
        <f t="shared" si="16"/>
        <v>436860</v>
      </c>
    </row>
    <row r="86" spans="2:18" ht="15.6">
      <c r="B86" s="261">
        <v>51</v>
      </c>
      <c r="C86" s="262" t="s">
        <v>126</v>
      </c>
      <c r="D86" s="263"/>
      <c r="E86" s="264">
        <f t="shared" si="17"/>
        <v>0</v>
      </c>
      <c r="F86" s="264">
        <f t="shared" si="17"/>
        <v>0</v>
      </c>
      <c r="G86" s="264">
        <f t="shared" si="17"/>
        <v>0</v>
      </c>
      <c r="H86" s="264">
        <f t="shared" si="17"/>
        <v>0</v>
      </c>
      <c r="I86" s="263">
        <f t="shared" si="17"/>
        <v>0</v>
      </c>
      <c r="J86" s="263">
        <f t="shared" si="17"/>
        <v>0</v>
      </c>
      <c r="K86" s="263">
        <f t="shared" si="17"/>
        <v>0</v>
      </c>
      <c r="L86" s="263">
        <f t="shared" si="17"/>
        <v>0</v>
      </c>
      <c r="M86" s="263">
        <f t="shared" si="17"/>
        <v>0</v>
      </c>
      <c r="N86" s="263">
        <f t="shared" si="17"/>
        <v>0</v>
      </c>
      <c r="O86" s="263">
        <f t="shared" si="17"/>
        <v>0</v>
      </c>
      <c r="P86" s="265">
        <f t="shared" si="17"/>
        <v>0</v>
      </c>
      <c r="Q86" s="266">
        <f t="shared" si="15"/>
        <v>0</v>
      </c>
      <c r="R86" s="267"/>
    </row>
    <row r="87" spans="2:18" ht="15.6">
      <c r="B87" s="271"/>
      <c r="C87" s="262" t="s">
        <v>127</v>
      </c>
      <c r="D87" s="263"/>
      <c r="E87" s="264">
        <f t="shared" si="17"/>
        <v>0</v>
      </c>
      <c r="F87" s="264">
        <f t="shared" si="17"/>
        <v>0</v>
      </c>
      <c r="G87" s="264">
        <f t="shared" si="17"/>
        <v>0</v>
      </c>
      <c r="H87" s="264">
        <f t="shared" si="17"/>
        <v>0</v>
      </c>
      <c r="I87" s="263">
        <f t="shared" si="17"/>
        <v>0</v>
      </c>
      <c r="J87" s="263">
        <f t="shared" si="17"/>
        <v>0</v>
      </c>
      <c r="K87" s="263">
        <f t="shared" si="17"/>
        <v>0</v>
      </c>
      <c r="L87" s="263">
        <f t="shared" si="17"/>
        <v>0</v>
      </c>
      <c r="M87" s="263">
        <f t="shared" si="17"/>
        <v>0</v>
      </c>
      <c r="N87" s="263">
        <f t="shared" si="17"/>
        <v>0</v>
      </c>
      <c r="O87" s="263">
        <f t="shared" si="17"/>
        <v>0</v>
      </c>
      <c r="P87" s="265">
        <f t="shared" si="17"/>
        <v>0</v>
      </c>
      <c r="Q87" s="266">
        <f t="shared" si="15"/>
        <v>0</v>
      </c>
      <c r="R87" s="267"/>
    </row>
    <row r="88" spans="2:18" ht="15.6">
      <c r="B88" s="116"/>
      <c r="C88" s="117" t="s">
        <v>128</v>
      </c>
      <c r="D88" s="181">
        <f t="shared" ref="D88:P91" si="18">+D197*D$110</f>
        <v>0</v>
      </c>
      <c r="E88" s="141">
        <f t="shared" si="18"/>
        <v>0</v>
      </c>
      <c r="F88" s="141">
        <f t="shared" si="18"/>
        <v>0</v>
      </c>
      <c r="G88" s="141">
        <f t="shared" si="18"/>
        <v>0</v>
      </c>
      <c r="H88" s="141">
        <f t="shared" si="18"/>
        <v>0</v>
      </c>
      <c r="I88" s="181">
        <f t="shared" si="18"/>
        <v>0</v>
      </c>
      <c r="J88" s="181">
        <f t="shared" si="18"/>
        <v>0</v>
      </c>
      <c r="K88" s="181">
        <f t="shared" si="18"/>
        <v>0</v>
      </c>
      <c r="L88" s="181">
        <f t="shared" si="18"/>
        <v>0</v>
      </c>
      <c r="M88" s="181">
        <f t="shared" si="18"/>
        <v>0</v>
      </c>
      <c r="N88" s="181">
        <f t="shared" si="18"/>
        <v>0</v>
      </c>
      <c r="O88" s="181">
        <f t="shared" si="18"/>
        <v>0</v>
      </c>
      <c r="P88" s="183">
        <f t="shared" si="18"/>
        <v>0</v>
      </c>
      <c r="Q88" s="182">
        <f t="shared" si="15"/>
        <v>0</v>
      </c>
      <c r="R88" s="119"/>
    </row>
    <row r="89" spans="2:18" ht="16.2" thickBot="1">
      <c r="B89" s="116"/>
      <c r="C89" s="117" t="s">
        <v>129</v>
      </c>
      <c r="D89" s="184">
        <f t="shared" si="18"/>
        <v>0</v>
      </c>
      <c r="E89" s="185">
        <f t="shared" si="18"/>
        <v>0</v>
      </c>
      <c r="F89" s="185">
        <f t="shared" si="18"/>
        <v>0</v>
      </c>
      <c r="G89" s="185">
        <f t="shared" si="18"/>
        <v>0</v>
      </c>
      <c r="H89" s="185">
        <f t="shared" si="18"/>
        <v>0</v>
      </c>
      <c r="I89" s="184">
        <f t="shared" si="18"/>
        <v>0</v>
      </c>
      <c r="J89" s="184">
        <f t="shared" si="18"/>
        <v>0</v>
      </c>
      <c r="K89" s="184">
        <f t="shared" si="18"/>
        <v>0</v>
      </c>
      <c r="L89" s="184">
        <f t="shared" si="18"/>
        <v>0</v>
      </c>
      <c r="M89" s="184">
        <f t="shared" si="18"/>
        <v>0</v>
      </c>
      <c r="N89" s="184">
        <f t="shared" si="18"/>
        <v>0</v>
      </c>
      <c r="O89" s="184">
        <f t="shared" si="18"/>
        <v>0</v>
      </c>
      <c r="P89" s="186">
        <f t="shared" si="18"/>
        <v>0</v>
      </c>
      <c r="Q89" s="268">
        <f t="shared" si="15"/>
        <v>0</v>
      </c>
      <c r="R89" s="123"/>
    </row>
    <row r="90" spans="2:18" ht="15.6">
      <c r="B90" s="40" t="str">
        <f t="shared" ref="B6:B92" si="19">IF($A90=0," ",$A90)</f>
        <v xml:space="preserve"> </v>
      </c>
      <c r="C90" s="41" t="str">
        <f t="shared" ref="C84:C92" si="20">+$B90</f>
        <v xml:space="preserve"> </v>
      </c>
      <c r="D90" s="269">
        <f t="shared" si="18"/>
        <v>0</v>
      </c>
      <c r="E90" s="269">
        <f t="shared" si="18"/>
        <v>0</v>
      </c>
      <c r="F90" s="269">
        <f t="shared" si="18"/>
        <v>0</v>
      </c>
      <c r="G90" s="269">
        <f t="shared" si="18"/>
        <v>0</v>
      </c>
      <c r="H90" s="269">
        <f t="shared" si="18"/>
        <v>0</v>
      </c>
      <c r="I90" s="269">
        <f t="shared" si="18"/>
        <v>0</v>
      </c>
      <c r="J90" s="269">
        <f t="shared" si="18"/>
        <v>0</v>
      </c>
      <c r="K90" s="269">
        <f t="shared" si="18"/>
        <v>0</v>
      </c>
      <c r="L90" s="269">
        <f t="shared" si="18"/>
        <v>0</v>
      </c>
      <c r="M90" s="269">
        <f t="shared" si="18"/>
        <v>0</v>
      </c>
      <c r="N90" s="269">
        <f t="shared" si="18"/>
        <v>0</v>
      </c>
      <c r="O90" s="269">
        <f t="shared" si="18"/>
        <v>0</v>
      </c>
      <c r="P90" s="269">
        <f t="shared" si="18"/>
        <v>0</v>
      </c>
      <c r="Q90" s="269">
        <f t="shared" si="15"/>
        <v>0</v>
      </c>
      <c r="R90" s="43">
        <f t="shared" si="16"/>
        <v>0</v>
      </c>
    </row>
    <row r="91" spans="2:18" ht="16.2" thickBot="1">
      <c r="B91" s="44" t="str">
        <f t="shared" si="19"/>
        <v xml:space="preserve"> </v>
      </c>
      <c r="C91" s="45" t="str">
        <f t="shared" si="20"/>
        <v xml:space="preserve"> </v>
      </c>
      <c r="D91" s="73">
        <f t="shared" si="18"/>
        <v>0</v>
      </c>
      <c r="E91" s="45">
        <f t="shared" si="18"/>
        <v>0</v>
      </c>
      <c r="F91" s="45">
        <f t="shared" si="18"/>
        <v>0</v>
      </c>
      <c r="G91" s="45">
        <f t="shared" si="18"/>
        <v>0</v>
      </c>
      <c r="H91" s="45">
        <f t="shared" si="18"/>
        <v>0</v>
      </c>
      <c r="I91" s="45">
        <f t="shared" si="18"/>
        <v>0</v>
      </c>
      <c r="J91" s="45">
        <f t="shared" si="18"/>
        <v>0</v>
      </c>
      <c r="K91" s="45">
        <f t="shared" si="18"/>
        <v>0</v>
      </c>
      <c r="L91" s="45">
        <f t="shared" si="18"/>
        <v>0</v>
      </c>
      <c r="M91" s="45">
        <f t="shared" si="18"/>
        <v>0</v>
      </c>
      <c r="N91" s="45">
        <f t="shared" si="18"/>
        <v>0</v>
      </c>
      <c r="O91" s="45">
        <f t="shared" si="18"/>
        <v>0</v>
      </c>
      <c r="P91" s="45">
        <f t="shared" si="18"/>
        <v>0</v>
      </c>
      <c r="Q91" s="45">
        <f t="shared" si="15"/>
        <v>0</v>
      </c>
      <c r="R91" s="48">
        <f t="shared" si="16"/>
        <v>0</v>
      </c>
    </row>
    <row r="92" spans="2:18" ht="15.6">
      <c r="B92" s="40" t="str">
        <f t="shared" si="19"/>
        <v xml:space="preserve"> </v>
      </c>
      <c r="C92" s="41" t="str">
        <f t="shared" si="20"/>
        <v xml:space="preserve"> </v>
      </c>
      <c r="D92" s="269">
        <v>7</v>
      </c>
      <c r="E92" s="269">
        <v>8</v>
      </c>
      <c r="F92" s="269">
        <v>9</v>
      </c>
      <c r="G92" s="269">
        <v>10</v>
      </c>
      <c r="H92" s="269">
        <v>11</v>
      </c>
      <c r="I92" s="269">
        <v>12</v>
      </c>
      <c r="J92" s="269">
        <v>13</v>
      </c>
      <c r="K92" s="269">
        <v>14</v>
      </c>
      <c r="L92" s="269">
        <v>15</v>
      </c>
      <c r="M92" s="269">
        <v>16</v>
      </c>
      <c r="N92" s="269">
        <v>17</v>
      </c>
      <c r="O92" s="269">
        <v>18</v>
      </c>
      <c r="P92" s="269">
        <v>19</v>
      </c>
      <c r="Q92" s="269" t="s">
        <v>2</v>
      </c>
      <c r="R92" s="43" t="s">
        <v>3</v>
      </c>
    </row>
    <row r="93" spans="2:18" ht="15.6">
      <c r="B93" s="44"/>
      <c r="C93" s="45" t="s">
        <v>4</v>
      </c>
      <c r="D93" s="73">
        <f t="shared" ref="D93:E93" si="21">SUM(D5:D92)</f>
        <v>234167</v>
      </c>
      <c r="E93" s="45">
        <f t="shared" si="21"/>
        <v>1768</v>
      </c>
      <c r="F93" s="73">
        <f>SUM(F5:F89)</f>
        <v>18975</v>
      </c>
      <c r="G93" s="73">
        <f t="shared" ref="G93:P93" si="22">SUM(G5:G89)</f>
        <v>20530</v>
      </c>
      <c r="H93" s="73">
        <f t="shared" si="22"/>
        <v>7180</v>
      </c>
      <c r="I93" s="73">
        <f t="shared" si="22"/>
        <v>20100</v>
      </c>
      <c r="J93" s="73">
        <f t="shared" si="22"/>
        <v>15300</v>
      </c>
      <c r="K93" s="73">
        <f t="shared" si="22"/>
        <v>15570</v>
      </c>
      <c r="L93" s="73">
        <f t="shared" si="22"/>
        <v>32560</v>
      </c>
      <c r="M93" s="73">
        <f t="shared" si="22"/>
        <v>21285</v>
      </c>
      <c r="N93" s="73">
        <f t="shared" si="22"/>
        <v>22960</v>
      </c>
      <c r="O93" s="73">
        <f t="shared" si="22"/>
        <v>11400</v>
      </c>
      <c r="P93" s="73">
        <f t="shared" si="22"/>
        <v>15080</v>
      </c>
      <c r="Q93" s="45">
        <f>SUM(D93:P93)</f>
        <v>436875</v>
      </c>
      <c r="R93" s="48"/>
    </row>
    <row r="94" spans="2:18" ht="15.6">
      <c r="B94" s="49"/>
      <c r="C94" s="50" t="s">
        <v>5</v>
      </c>
      <c r="D94" s="50">
        <v>2132</v>
      </c>
      <c r="E94" s="50">
        <v>514</v>
      </c>
      <c r="F94" s="50">
        <v>383</v>
      </c>
      <c r="G94" s="50">
        <v>1024</v>
      </c>
      <c r="H94" s="50">
        <v>434</v>
      </c>
      <c r="I94" s="50">
        <v>1064</v>
      </c>
      <c r="J94" s="50">
        <v>720</v>
      </c>
      <c r="K94" s="50">
        <v>1064</v>
      </c>
      <c r="L94" s="50">
        <v>944</v>
      </c>
      <c r="M94" s="50">
        <v>1064</v>
      </c>
      <c r="N94" s="50">
        <v>1168</v>
      </c>
      <c r="O94" s="50">
        <v>770</v>
      </c>
      <c r="P94" s="50">
        <v>716</v>
      </c>
      <c r="Q94" s="45">
        <f>SUM(D94:P94)</f>
        <v>11997</v>
      </c>
      <c r="R94" s="51"/>
    </row>
    <row r="95" spans="2:18" ht="15.6">
      <c r="B95" s="52"/>
      <c r="C95" s="53" t="s">
        <v>6</v>
      </c>
      <c r="D95" s="74">
        <f t="shared" ref="D95:P95" si="23">D93/D94</f>
        <v>109.8344277673546</v>
      </c>
      <c r="E95" s="74">
        <f t="shared" si="23"/>
        <v>3.4396887159533076</v>
      </c>
      <c r="F95" s="74">
        <f t="shared" si="23"/>
        <v>49.543080939947778</v>
      </c>
      <c r="G95" s="74">
        <f t="shared" si="23"/>
        <v>20.048828125</v>
      </c>
      <c r="H95" s="74">
        <f t="shared" si="23"/>
        <v>16.543778801843317</v>
      </c>
      <c r="I95" s="74">
        <f t="shared" si="23"/>
        <v>18.890977443609021</v>
      </c>
      <c r="J95" s="74">
        <f t="shared" si="23"/>
        <v>21.25</v>
      </c>
      <c r="K95" s="74">
        <f t="shared" si="23"/>
        <v>14.633458646616541</v>
      </c>
      <c r="L95" s="74">
        <f t="shared" si="23"/>
        <v>34.491525423728817</v>
      </c>
      <c r="M95" s="74">
        <f t="shared" si="23"/>
        <v>20.0046992481203</v>
      </c>
      <c r="N95" s="74">
        <f t="shared" si="23"/>
        <v>19.657534246575342</v>
      </c>
      <c r="O95" s="74">
        <f t="shared" si="23"/>
        <v>14.805194805194805</v>
      </c>
      <c r="P95" s="74">
        <f t="shared" si="23"/>
        <v>21.061452513966479</v>
      </c>
      <c r="Q95" s="74">
        <f>Q93/Q94</f>
        <v>36.415353838459616</v>
      </c>
      <c r="R95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Schoeman</dc:creator>
  <cp:lastModifiedBy>Andre Schoeman</cp:lastModifiedBy>
  <dcterms:created xsi:type="dcterms:W3CDTF">2026-08-12T18:25:08Z</dcterms:created>
  <dcterms:modified xsi:type="dcterms:W3CDTF">2026-08-12T18:41:18Z</dcterms:modified>
</cp:coreProperties>
</file>